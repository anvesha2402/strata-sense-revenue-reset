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_audit" sheetId="2" state="visible" r:id="rId2"/>
    <sheet xmlns:r="http://schemas.openxmlformats.org/officeDocument/2006/relationships" name="A1b_audit_waterfall" sheetId="3" state="visible" r:id="rId3"/>
    <sheet xmlns:r="http://schemas.openxmlformats.org/officeDocument/2006/relationships" name="A2_arr_bridge" sheetId="4" state="visible" r:id="rId4"/>
    <sheet xmlns:r="http://schemas.openxmlformats.org/officeDocument/2006/relationships" name="A2b_retention" sheetId="5" state="visible" r:id="rId5"/>
    <sheet xmlns:r="http://schemas.openxmlformats.org/officeDocument/2006/relationships" name="A3_funnel" sheetId="6" state="visible" r:id="rId6"/>
    <sheet xmlns:r="http://schemas.openxmlformats.org/officeDocument/2006/relationships" name="A4_model" sheetId="7" state="visible" r:id="rId7"/>
    <sheet xmlns:r="http://schemas.openxmlformats.org/officeDocument/2006/relationships" name="A5_forecast" sheetId="8" state="visible" r:id="rId8"/>
    <sheet xmlns:r="http://schemas.openxmlformats.org/officeDocument/2006/relationships" name="A6_sizing" sheetId="9" state="visible" r:id="rId9"/>
    <sheet xmlns:r="http://schemas.openxmlformats.org/officeDocument/2006/relationships" name="A7_hypotheses" sheetId="10" state="visible" r:id="rId10"/>
    <sheet xmlns:r="http://schemas.openxmlformats.org/officeDocument/2006/relationships" name="A8_brief_vs_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D1 DATA APPENDIX</t>
        </is>
      </c>
      <c r="B1" s="1" t="inlineStr"/>
    </row>
    <row r="2">
      <c r="A2" s="1" t="inlineStr">
        <is>
          <t>Company</t>
        </is>
      </c>
      <c r="B2" s="1" t="inlineStr">
        <is>
          <t>Strata Sense Technologies is fictional; all data synthetic (MBA capstone practice).</t>
        </is>
      </c>
    </row>
    <row r="3">
      <c r="A3" s="1" t="inlineStr">
        <is>
          <t>Source</t>
        </is>
      </c>
      <c r="B3" s="1" t="inlineStr">
        <is>
          <t>DR1 CRM export, DR2 account master, DR3 finance pack. Reference date 31 Mar 2026.</t>
        </is>
      </c>
    </row>
    <row r="4">
      <c r="A4" s="1" t="inlineStr">
        <is>
          <t>Reproduce</t>
        </is>
      </c>
      <c r="B4" s="1" t="inlineStr">
        <is>
          <t>Run d1_clean.py → d1_arr.py → d1_prep.py → d1_funnel.py → d1_model.py → d1_hyp.py → d1_size.py → d1_charts.py (Python 3, pandas, statsmodels, scikit-learn).</t>
        </is>
      </c>
    </row>
    <row r="5">
      <c r="A5" s="1" t="inlineStr">
        <is>
          <t>Win rate definition</t>
        </is>
      </c>
      <c r="B5" s="1" t="inlineStr">
        <is>
          <t>Won ÷ (won + lost) among deals that reached 2-Solution Design or later, by close fiscal year, after cleaning.</t>
        </is>
      </c>
    </row>
    <row r="6">
      <c r="A6" s="1" t="inlineStr">
        <is>
          <t>Fit score</t>
        </is>
      </c>
      <c r="B6" s="1" t="inlineStr">
        <is>
          <t>Logistic model on firmographics only (segment, revenue band, log installed assets, Helix incumbent, region), trained on FY24–FY25 closed deals, tested on FY26.</t>
        </is>
      </c>
    </row>
    <row r="7">
      <c r="A7" s="1" t="inlineStr">
        <is>
          <t>ARR at stake</t>
        </is>
      </c>
      <c r="B7" s="1" t="inlineStr">
        <is>
          <t>Annual ARR lost vs the earlier year's rate, applied to FY26 volumes: win-rate change × FY26 qualified deals × FY26 average deal; NRR change × FY26 opening ARR. Rows overlap where noted.</t>
        </is>
      </c>
    </row>
    <row r="8">
      <c r="A8" s="1" t="inlineStr">
        <is>
          <t>AI use disclosure</t>
        </is>
      </c>
      <c r="B8" s="1" t="inlineStr">
        <is>
          <t>Analysis code and memo drafting were produced with an AI assistant (Claude). All figures are reproducible from the scripts; the author is accountable for every number.</t>
        </is>
      </c>
    </row>
    <row r="9">
      <c r="A9" s="1" t="inlineStr">
        <is>
          <t>SHEETS</t>
        </is>
      </c>
      <c r="B9" s="1" t="inlineStr"/>
    </row>
    <row r="10">
      <c r="A10" s="1" t="inlineStr">
        <is>
          <t>A1_audit</t>
        </is>
      </c>
      <c r="B10" s="1" t="inlineStr">
        <is>
          <t>CRM issues, rules and effects</t>
        </is>
      </c>
    </row>
    <row r="11">
      <c r="A11" s="1" t="inlineStr">
        <is>
          <t>A1b_audit_waterfall</t>
        </is>
      </c>
      <c r="B11" s="1" t="inlineStr">
        <is>
          <t>Headline metrics after each cleaning step</t>
        </is>
      </c>
    </row>
    <row r="12">
      <c r="A12" s="1" t="inlineStr">
        <is>
          <t>A2_arr_bridge</t>
        </is>
      </c>
      <c r="B12" s="1" t="inlineStr">
        <is>
          <t>ARR bridge FY24–FY26 and reconciliation to CRM</t>
        </is>
      </c>
    </row>
    <row r="13">
      <c r="A13" s="1" t="inlineStr">
        <is>
          <t>A2b_retention</t>
        </is>
      </c>
      <c r="B13" s="1" t="inlineStr">
        <is>
          <t>NRR/GRR by cohort, segment, region, usage, incumbent, size</t>
        </is>
      </c>
    </row>
    <row r="14">
      <c r="A14" s="1" t="inlineStr">
        <is>
          <t>A3_funnel</t>
        </is>
      </c>
      <c r="B14" s="1" t="inlineStr">
        <is>
          <t>Win rate by cut and year</t>
        </is>
      </c>
    </row>
    <row r="15">
      <c r="A15" s="1" t="inlineStr">
        <is>
          <t>A4_model</t>
        </is>
      </c>
      <c r="B15" s="1" t="inlineStr">
        <is>
          <t>Fit score, win model, decomposition</t>
        </is>
      </c>
    </row>
    <row r="16">
      <c r="A16" s="1" t="inlineStr">
        <is>
          <t>A5_forecast</t>
        </is>
      </c>
      <c r="B16" s="1" t="inlineStr">
        <is>
          <t>Forecast history, errors, conversion by category</t>
        </is>
      </c>
    </row>
    <row r="17">
      <c r="A17" s="1" t="inlineStr">
        <is>
          <t>A6_sizing</t>
        </is>
      </c>
      <c r="B17" s="1" t="inlineStr">
        <is>
          <t>Root-cause sizing</t>
        </is>
      </c>
    </row>
    <row r="18">
      <c r="A18" s="1" t="inlineStr">
        <is>
          <t>A7_hypotheses</t>
        </is>
      </c>
      <c r="B18" s="1" t="inlineStr">
        <is>
          <t>Verdicts and evidence</t>
        </is>
      </c>
    </row>
    <row r="19">
      <c r="A19" s="1" t="inlineStr">
        <is>
          <t>A8_brief_vs_data</t>
        </is>
      </c>
      <c r="B19" s="1" t="inlineStr">
        <is>
          <t>Where the data differs from the brief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39" customWidth="1" min="3" max="3"/>
    <col width="48" customWidth="1" min="4" max="4"/>
  </cols>
  <sheetData>
    <row r="1">
      <c r="A1" s="2" t="inlineStr">
        <is>
          <t>Issue</t>
        </is>
      </c>
      <c r="B1" s="2" t="inlineStr">
        <is>
          <t>Rows affected</t>
        </is>
      </c>
      <c r="C1" s="2" t="inlineStr">
        <is>
          <t>Rule applied</t>
        </is>
      </c>
      <c r="D1" s="2" t="inlineStr">
        <is>
          <t>Effect on win rate / bookings</t>
        </is>
      </c>
    </row>
    <row r="2">
      <c r="A2" s="1" t="inlineStr">
        <is>
          <t>Test records</t>
        </is>
      </c>
      <c r="B2" s="1" t="inlineStr">
        <is>
          <t>16</t>
        </is>
      </c>
      <c r="C2" s="1" t="inlineStr">
        <is>
          <t>Exclude</t>
        </is>
      </c>
      <c r="D2" s="1" t="inlineStr">
        <is>
          <t>FY24 wins 100→98; FY25 79→77; bookings −₹0.02 cr</t>
        </is>
      </c>
    </row>
    <row r="3">
      <c r="A3" s="1" t="inlineStr">
        <is>
          <t>Duplicate opportunities (same account, owner and stage; value within 2%; created ≤10 days apart)</t>
        </is>
      </c>
      <c r="B3" s="1" t="inlineStr">
        <is>
          <t>30 pairs</t>
        </is>
      </c>
      <c r="C3" s="1" t="inlineStr">
        <is>
          <t>Exclude the later copy</t>
        </is>
      </c>
      <c r="D3" s="1" t="inlineStr">
        <is>
          <t>FY26 wins 77→73, bookings ₹44.05→41.00 cr; FY25 bookings ₹41.51→39.00 cr; FY26 win rate 17.6%→17.0%</t>
        </is>
      </c>
    </row>
    <row r="4">
      <c r="A4" s="1" t="inlineStr">
        <is>
          <t>Near-duplicate kept (OPP-104574 / OPP-104625: different owners, both won, both billed)</t>
        </is>
      </c>
      <c r="B4" s="1" t="inlineStr">
        <is>
          <t>1 pair</t>
        </is>
      </c>
      <c r="C4" s="1" t="inlineStr">
        <is>
          <t>Keep both</t>
        </is>
      </c>
      <c r="D4" s="1" t="inlineStr">
        <is>
          <t>Keeping both reconciles FY25 CRM bookings to DR3 exactly</t>
        </is>
      </c>
    </row>
    <row r="5">
      <c r="A5" s="1" t="inlineStr">
        <is>
          <t>Values entered in rupees, not lakh</t>
        </is>
      </c>
      <c r="B5" s="1" t="inlineStr">
        <is>
          <t>3 (all Closed Lost)</t>
        </is>
      </c>
      <c r="C5" s="1" t="inlineStr">
        <is>
          <t>Divide by 100,000</t>
        </is>
      </c>
      <c r="D5" s="1" t="inlineStr">
        <is>
          <t>Removes ₹58,309 cr of phantom lost value; no effect on bookings</t>
        </is>
      </c>
    </row>
    <row r="6">
      <c r="A6" s="1" t="inlineStr">
        <is>
          <t>Disqualified deals logged as Closed Lost (never reached stage 2)</t>
        </is>
      </c>
      <c r="B6" s="1" t="inlineStr">
        <is>
          <t>88</t>
        </is>
      </c>
      <c r="C6" s="1" t="inlineStr">
        <is>
          <t>Relabel Disqualified</t>
        </is>
      </c>
      <c r="D6" s="1" t="inlineStr">
        <is>
          <t>Naive win rate (won ÷ all closed) FY26 16.1%→17.0%; qualified win rate unchanged</t>
        </is>
      </c>
    </row>
    <row r="7">
      <c r="A7" s="1" t="inlineStr">
        <is>
          <t>Close date earlier than created date</t>
        </is>
      </c>
      <c r="B7" s="1" t="inlineStr">
        <is>
          <t>4</t>
        </is>
      </c>
      <c r="C7" s="1" t="inlineStr">
        <is>
          <t>Add one year (all 4 then valid)</t>
        </is>
      </c>
      <c r="D7" s="1" t="inlineStr">
        <is>
          <t>FY26 qualified closed 429→432; win rate 17.0%→16.9%</t>
        </is>
      </c>
    </row>
    <row r="8">
      <c r="A8" s="1" t="inlineStr">
        <is>
          <t>Won deals missing a mandatory stage (2, 4 or 5)</t>
        </is>
      </c>
      <c r="B8" s="1" t="inlineStr">
        <is>
          <t>8</t>
        </is>
      </c>
      <c r="C8" s="1" t="inlineStr">
        <is>
          <t>Flag, keep</t>
        </is>
      </c>
      <c r="D8" s="1" t="inlineStr">
        <is>
          <t>Stage-conversion rates slightly understated</t>
        </is>
      </c>
    </row>
    <row r="9">
      <c r="A9" s="1" t="inlineStr">
        <is>
          <t>Loss reason blank on Closed Lost</t>
        </is>
      </c>
      <c r="B9" s="1" t="inlineStr">
        <is>
          <t>27.7%</t>
        </is>
      </c>
      <c r="C9" s="1" t="inlineStr">
        <is>
          <t>Keep as Unknown</t>
        </is>
      </c>
      <c r="D9" s="1" t="inlineStr">
        <is>
          <t>37% of FY26 losses cannot be attributed to a rival or no-decision</t>
        </is>
      </c>
    </row>
    <row r="10">
      <c r="A10" s="1" t="inlineStr">
        <is>
          <t>Competitor blank: won 50.6%, lost 29.7%, open 40.0%</t>
        </is>
      </c>
      <c r="B10" s="1" t="inlineStr">
        <is>
          <t>—</t>
        </is>
      </c>
      <c r="C10" s="1" t="inlineStr">
        <is>
          <t>Do not compute win rate by competitor</t>
        </is>
      </c>
      <c r="D10" s="1" t="inlineStr">
        <is>
          <t>Field is filled mostly after a loss → rival win rates biased low; use Helix-incumbent account field instead</t>
        </is>
      </c>
    </row>
    <row r="11">
      <c r="A11" s="1" t="inlineStr">
        <is>
          <t>Partner-sourced deals tagged AE self-sourced (partner_role = Sourced)</t>
        </is>
      </c>
      <c r="B11" s="1" t="inlineStr">
        <is>
          <t>36</t>
        </is>
      </c>
      <c r="C11" s="1" t="inlineStr">
        <is>
          <t>Re-tag as partner-sourced</t>
        </is>
      </c>
      <c r="D11" s="1" t="inlineStr">
        <is>
          <t>FY26 partner-sourced share 5.8%→6.3% of bookings</t>
        </is>
      </c>
    </row>
    <row r="12">
      <c r="A12" s="1" t="inlineStr">
        <is>
          <t>Lead source blank</t>
        </is>
      </c>
      <c r="B12" s="1" t="inlineStr">
        <is>
          <t>8.2%</t>
        </is>
      </c>
      <c r="C12" s="1" t="inlineStr">
        <is>
          <t>Keep as Unknown</t>
        </is>
      </c>
      <c r="D12" s="1" t="inlineStr">
        <is>
          <t>Marketing vs SDR sourcing not separable in any case</t>
        </is>
      </c>
    </row>
    <row r="13">
      <c r="A13" s="1" t="inlineStr">
        <is>
          <t>Deals reassigned after owner left</t>
        </is>
      </c>
      <c r="B13" s="1" t="inlineStr">
        <is>
          <t>155</t>
        </is>
      </c>
      <c r="C13" s="1" t="inlineStr">
        <is>
          <t>Separate tenure group</t>
        </is>
      </c>
      <c r="D13" s="1" t="inlineStr">
        <is>
          <t>Rep-tenure analysis excludes them from tenure bands</t>
        </is>
      </c>
    </row>
    <row r="14">
      <c r="A14" s="1" t="inlineStr">
        <is>
          <t>Open deals stale (close date past, no activity 90 days, or pushed ≥2 times)</t>
        </is>
      </c>
      <c r="B14" s="1" t="inlineStr">
        <is>
          <t>17% of open value</t>
        </is>
      </c>
      <c r="C14" s="1" t="inlineStr">
        <is>
          <t>Flag; exclude from clean coverage</t>
        </is>
      </c>
      <c r="D14" s="1" t="inlineStr">
        <is>
          <t>Reported open pipeline ₹124.8 cr overstates workable pipeline by ~₹21 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0" customWidth="1" min="5" max="5"/>
    <col width="13" customWidth="1" min="6" max="6"/>
    <col width="15" customWidth="1" min="7" max="7"/>
    <col width="10" customWidth="1" min="8" max="8"/>
    <col width="27" customWidth="1" min="9" max="9"/>
    <col width="10" customWidth="1" min="10" max="10"/>
  </cols>
  <sheetData>
    <row r="1">
      <c r="A1" s="3" t="inlineStr">
        <is>
          <t>step</t>
        </is>
      </c>
      <c r="B1" s="3" t="inlineStr">
        <is>
          <t>fy</t>
        </is>
      </c>
      <c r="C1" s="3" t="inlineStr">
        <is>
          <t>qualified_closed</t>
        </is>
      </c>
      <c r="D1" s="3" t="inlineStr">
        <is>
          <t>win_rate</t>
        </is>
      </c>
      <c r="E1" s="3" t="inlineStr">
        <is>
          <t>wins</t>
        </is>
      </c>
      <c r="F1" s="3" t="inlineStr">
        <is>
          <t>bookings_cr</t>
        </is>
      </c>
      <c r="G1" s="3" t="inlineStr">
        <is>
          <t>avg_deal_lakh</t>
        </is>
      </c>
      <c r="H1" s="3" t="inlineStr">
        <is>
          <t>cycle_m</t>
        </is>
      </c>
      <c r="I1" s="3" t="inlineStr">
        <is>
          <t>naive_win_rate_all_closed</t>
        </is>
      </c>
      <c r="J1" s="3" t="inlineStr">
        <is>
          <t>disc_pct</t>
        </is>
      </c>
    </row>
    <row r="2">
      <c r="A2" s="4" t="inlineStr">
        <is>
          <t>0 Raw export</t>
        </is>
      </c>
      <c r="B2" s="4" t="n">
        <v>2024</v>
      </c>
      <c r="C2" s="4" t="n">
        <v>415</v>
      </c>
      <c r="D2" s="4" t="n">
        <v>0.2361</v>
      </c>
      <c r="E2" s="4" t="n">
        <v>100</v>
      </c>
      <c r="F2" s="4" t="n">
        <v>41.6203</v>
      </c>
      <c r="G2" s="4" t="n">
        <v>41.6203</v>
      </c>
      <c r="H2" s="4" t="n">
        <v>6.0821</v>
      </c>
      <c r="I2" s="4" t="n">
        <v>0.2257</v>
      </c>
      <c r="J2" s="4" t="n">
        <v>12.9935</v>
      </c>
    </row>
    <row r="3">
      <c r="A3" s="4" t="inlineStr">
        <is>
          <t>0 Raw export</t>
        </is>
      </c>
      <c r="B3" s="4" t="n">
        <v>2025</v>
      </c>
      <c r="C3" s="4" t="n">
        <v>385</v>
      </c>
      <c r="D3" s="4" t="n">
        <v>0.2</v>
      </c>
      <c r="E3" s="4" t="n">
        <v>79</v>
      </c>
      <c r="F3" s="4" t="n">
        <v>41.531</v>
      </c>
      <c r="G3" s="4" t="n">
        <v>52.5709</v>
      </c>
      <c r="H3" s="4" t="n">
        <v>7.1001</v>
      </c>
      <c r="I3" s="4" t="n">
        <v>0.1846</v>
      </c>
      <c r="J3" s="4" t="n">
        <v>15.5795</v>
      </c>
    </row>
    <row r="4">
      <c r="A4" s="4" t="inlineStr">
        <is>
          <t>0 Raw export</t>
        </is>
      </c>
      <c r="B4" s="4" t="n">
        <v>2026</v>
      </c>
      <c r="C4" s="4" t="n">
        <v>438</v>
      </c>
      <c r="D4" s="4" t="n">
        <v>0.1758</v>
      </c>
      <c r="E4" s="4" t="n">
        <v>77</v>
      </c>
      <c r="F4" s="4" t="n">
        <v>44.0537</v>
      </c>
      <c r="G4" s="4" t="n">
        <v>57.2126</v>
      </c>
      <c r="H4" s="4" t="n">
        <v>7.9266</v>
      </c>
      <c r="I4" s="4" t="n">
        <v>0.1663</v>
      </c>
      <c r="J4" s="4" t="n">
        <v>19.0684</v>
      </c>
    </row>
    <row r="5">
      <c r="A5" s="4" t="inlineStr">
        <is>
          <t>+ tests</t>
        </is>
      </c>
      <c r="B5" s="4" t="n">
        <v>2024</v>
      </c>
      <c r="C5" s="4" t="n">
        <v>415</v>
      </c>
      <c r="D5" s="4" t="n">
        <v>0.2361</v>
      </c>
      <c r="E5" s="4" t="n">
        <v>98</v>
      </c>
      <c r="F5" s="4" t="n">
        <v>41.6003</v>
      </c>
      <c r="G5" s="4" t="n">
        <v>42.4493</v>
      </c>
      <c r="H5" s="4" t="n">
        <v>6.1828</v>
      </c>
      <c r="I5" s="4" t="n">
        <v>0.2232</v>
      </c>
      <c r="J5" s="4" t="n">
        <v>12.9935</v>
      </c>
    </row>
    <row r="6">
      <c r="A6" s="4" t="inlineStr">
        <is>
          <t>+ tests</t>
        </is>
      </c>
      <c r="B6" s="4" t="n">
        <v>2025</v>
      </c>
      <c r="C6" s="4" t="n">
        <v>385</v>
      </c>
      <c r="D6" s="4" t="n">
        <v>0.2</v>
      </c>
      <c r="E6" s="4" t="n">
        <v>77</v>
      </c>
      <c r="F6" s="4" t="n">
        <v>41.511</v>
      </c>
      <c r="G6" s="4" t="n">
        <v>53.9104</v>
      </c>
      <c r="H6" s="4" t="n">
        <v>7.2546</v>
      </c>
      <c r="I6" s="4" t="n">
        <v>0.1816</v>
      </c>
      <c r="J6" s="4" t="n">
        <v>15.5795</v>
      </c>
    </row>
    <row r="7">
      <c r="A7" s="4" t="inlineStr">
        <is>
          <t>+ tests</t>
        </is>
      </c>
      <c r="B7" s="4" t="n">
        <v>2026</v>
      </c>
      <c r="C7" s="4" t="n">
        <v>438</v>
      </c>
      <c r="D7" s="4" t="n">
        <v>0.1758</v>
      </c>
      <c r="E7" s="4" t="n">
        <v>77</v>
      </c>
      <c r="F7" s="4" t="n">
        <v>44.0537</v>
      </c>
      <c r="G7" s="4" t="n">
        <v>57.2126</v>
      </c>
      <c r="H7" s="4" t="n">
        <v>7.9266</v>
      </c>
      <c r="I7" s="4" t="n">
        <v>0.1663</v>
      </c>
      <c r="J7" s="4" t="n">
        <v>19.0684</v>
      </c>
    </row>
    <row r="8">
      <c r="A8" s="4" t="inlineStr">
        <is>
          <t>+ dups</t>
        </is>
      </c>
      <c r="B8" s="4" t="n">
        <v>2024</v>
      </c>
      <c r="C8" s="4" t="n">
        <v>411</v>
      </c>
      <c r="D8" s="4" t="n">
        <v>0.2384</v>
      </c>
      <c r="E8" s="4" t="n">
        <v>98</v>
      </c>
      <c r="F8" s="4" t="n">
        <v>41.6003</v>
      </c>
      <c r="G8" s="4" t="n">
        <v>42.4493</v>
      </c>
      <c r="H8" s="4" t="n">
        <v>6.1828</v>
      </c>
      <c r="I8" s="4" t="n">
        <v>0.2253</v>
      </c>
      <c r="J8" s="4" t="n">
        <v>12.9935</v>
      </c>
    </row>
    <row r="9">
      <c r="A9" s="4" t="inlineStr">
        <is>
          <t>+ dups</t>
        </is>
      </c>
      <c r="B9" s="4" t="n">
        <v>2025</v>
      </c>
      <c r="C9" s="4" t="n">
        <v>378</v>
      </c>
      <c r="D9" s="4" t="n">
        <v>0.1958</v>
      </c>
      <c r="E9" s="4" t="n">
        <v>74</v>
      </c>
      <c r="F9" s="4" t="n">
        <v>38.9995</v>
      </c>
      <c r="G9" s="4" t="n">
        <v>52.702</v>
      </c>
      <c r="H9" s="4" t="n">
        <v>7.2535</v>
      </c>
      <c r="I9" s="4" t="n">
        <v>0.1775</v>
      </c>
      <c r="J9" s="4" t="n">
        <v>15.4729</v>
      </c>
    </row>
    <row r="10">
      <c r="A10" s="4" t="inlineStr">
        <is>
          <t>+ dups</t>
        </is>
      </c>
      <c r="B10" s="4" t="n">
        <v>2026</v>
      </c>
      <c r="C10" s="4" t="n">
        <v>429</v>
      </c>
      <c r="D10" s="4" t="n">
        <v>0.1702</v>
      </c>
      <c r="E10" s="4" t="n">
        <v>73</v>
      </c>
      <c r="F10" s="4" t="n">
        <v>40.9999</v>
      </c>
      <c r="G10" s="4" t="n">
        <v>56.1642</v>
      </c>
      <c r="H10" s="4" t="n">
        <v>8.014900000000001</v>
      </c>
      <c r="I10" s="4" t="n">
        <v>0.1608</v>
      </c>
      <c r="J10" s="4" t="n">
        <v>19.1139</v>
      </c>
    </row>
    <row r="11">
      <c r="A11" s="4" t="inlineStr">
        <is>
          <t>+ units</t>
        </is>
      </c>
      <c r="B11" s="4" t="n">
        <v>2024</v>
      </c>
      <c r="C11" s="4" t="n">
        <v>411</v>
      </c>
      <c r="D11" s="4" t="n">
        <v>0.2384</v>
      </c>
      <c r="E11" s="4" t="n">
        <v>98</v>
      </c>
      <c r="F11" s="4" t="n">
        <v>41.6003</v>
      </c>
      <c r="G11" s="4" t="n">
        <v>42.4493</v>
      </c>
      <c r="H11" s="4" t="n">
        <v>6.1828</v>
      </c>
      <c r="I11" s="4" t="n">
        <v>0.2253</v>
      </c>
      <c r="J11" s="4" t="n">
        <v>12.9935</v>
      </c>
    </row>
    <row r="12">
      <c r="A12" s="4" t="inlineStr">
        <is>
          <t>+ units</t>
        </is>
      </c>
      <c r="B12" s="4" t="n">
        <v>2025</v>
      </c>
      <c r="C12" s="4" t="n">
        <v>378</v>
      </c>
      <c r="D12" s="4" t="n">
        <v>0.1958</v>
      </c>
      <c r="E12" s="4" t="n">
        <v>74</v>
      </c>
      <c r="F12" s="4" t="n">
        <v>38.9995</v>
      </c>
      <c r="G12" s="4" t="n">
        <v>52.702</v>
      </c>
      <c r="H12" s="4" t="n">
        <v>7.2535</v>
      </c>
      <c r="I12" s="4" t="n">
        <v>0.1775</v>
      </c>
      <c r="J12" s="4" t="n">
        <v>15.4729</v>
      </c>
    </row>
    <row r="13">
      <c r="A13" s="4" t="inlineStr">
        <is>
          <t>+ units</t>
        </is>
      </c>
      <c r="B13" s="4" t="n">
        <v>2026</v>
      </c>
      <c r="C13" s="4" t="n">
        <v>429</v>
      </c>
      <c r="D13" s="4" t="n">
        <v>0.1702</v>
      </c>
      <c r="E13" s="4" t="n">
        <v>73</v>
      </c>
      <c r="F13" s="4" t="n">
        <v>40.9999</v>
      </c>
      <c r="G13" s="4" t="n">
        <v>56.1642</v>
      </c>
      <c r="H13" s="4" t="n">
        <v>8.014900000000001</v>
      </c>
      <c r="I13" s="4" t="n">
        <v>0.1608</v>
      </c>
      <c r="J13" s="4" t="n">
        <v>19.1139</v>
      </c>
    </row>
    <row r="14">
      <c r="A14" s="4" t="inlineStr">
        <is>
          <t>+ dq</t>
        </is>
      </c>
      <c r="B14" s="4" t="n">
        <v>2024</v>
      </c>
      <c r="C14" s="4" t="n">
        <v>411</v>
      </c>
      <c r="D14" s="4" t="n">
        <v>0.2384</v>
      </c>
      <c r="E14" s="4" t="n">
        <v>98</v>
      </c>
      <c r="F14" s="4" t="n">
        <v>41.6003</v>
      </c>
      <c r="G14" s="4" t="n">
        <v>42.4493</v>
      </c>
      <c r="H14" s="4" t="n">
        <v>6.1828</v>
      </c>
      <c r="I14" s="4" t="n">
        <v>0.2384</v>
      </c>
      <c r="J14" s="4" t="n">
        <v>12.9935</v>
      </c>
    </row>
    <row r="15">
      <c r="A15" s="4" t="inlineStr">
        <is>
          <t>+ dq</t>
        </is>
      </c>
      <c r="B15" s="4" t="n">
        <v>2025</v>
      </c>
      <c r="C15" s="4" t="n">
        <v>378</v>
      </c>
      <c r="D15" s="4" t="n">
        <v>0.1958</v>
      </c>
      <c r="E15" s="4" t="n">
        <v>74</v>
      </c>
      <c r="F15" s="4" t="n">
        <v>38.9995</v>
      </c>
      <c r="G15" s="4" t="n">
        <v>52.702</v>
      </c>
      <c r="H15" s="4" t="n">
        <v>7.2535</v>
      </c>
      <c r="I15" s="4" t="n">
        <v>0.1958</v>
      </c>
      <c r="J15" s="4" t="n">
        <v>15.4729</v>
      </c>
    </row>
    <row r="16">
      <c r="A16" s="4" t="inlineStr">
        <is>
          <t>+ dq</t>
        </is>
      </c>
      <c r="B16" s="4" t="n">
        <v>2026</v>
      </c>
      <c r="C16" s="4" t="n">
        <v>429</v>
      </c>
      <c r="D16" s="4" t="n">
        <v>0.1702</v>
      </c>
      <c r="E16" s="4" t="n">
        <v>73</v>
      </c>
      <c r="F16" s="4" t="n">
        <v>40.9999</v>
      </c>
      <c r="G16" s="4" t="n">
        <v>56.1642</v>
      </c>
      <c r="H16" s="4" t="n">
        <v>8.014900000000001</v>
      </c>
      <c r="I16" s="4" t="n">
        <v>0.1702</v>
      </c>
      <c r="J16" s="4" t="n">
        <v>19.1139</v>
      </c>
    </row>
    <row r="17">
      <c r="A17" s="4" t="inlineStr">
        <is>
          <t>+ dates</t>
        </is>
      </c>
      <c r="B17" s="4" t="n">
        <v>2024</v>
      </c>
      <c r="C17" s="4" t="n">
        <v>410</v>
      </c>
      <c r="D17" s="4" t="n">
        <v>0.239</v>
      </c>
      <c r="E17" s="4" t="n">
        <v>98</v>
      </c>
      <c r="F17" s="4" t="n">
        <v>41.6003</v>
      </c>
      <c r="G17" s="4" t="n">
        <v>42.4493</v>
      </c>
      <c r="H17" s="4" t="n">
        <v>6.1828</v>
      </c>
      <c r="I17" s="4" t="n">
        <v>0.239</v>
      </c>
      <c r="J17" s="4" t="n">
        <v>12.9935</v>
      </c>
    </row>
    <row r="18">
      <c r="A18" s="4" t="inlineStr">
        <is>
          <t>+ dates</t>
        </is>
      </c>
      <c r="B18" s="4" t="n">
        <v>2025</v>
      </c>
      <c r="C18" s="4" t="n">
        <v>376</v>
      </c>
      <c r="D18" s="4" t="n">
        <v>0.1968</v>
      </c>
      <c r="E18" s="4" t="n">
        <v>74</v>
      </c>
      <c r="F18" s="4" t="n">
        <v>38.9995</v>
      </c>
      <c r="G18" s="4" t="n">
        <v>52.702</v>
      </c>
      <c r="H18" s="4" t="n">
        <v>7.2535</v>
      </c>
      <c r="I18" s="4" t="n">
        <v>0.1968</v>
      </c>
      <c r="J18" s="4" t="n">
        <v>15.4729</v>
      </c>
    </row>
    <row r="19">
      <c r="A19" s="4" t="inlineStr">
        <is>
          <t>+ dates</t>
        </is>
      </c>
      <c r="B19" s="4" t="n">
        <v>2026</v>
      </c>
      <c r="C19" s="4" t="n">
        <v>432</v>
      </c>
      <c r="D19" s="4" t="n">
        <v>0.169</v>
      </c>
      <c r="E19" s="4" t="n">
        <v>73</v>
      </c>
      <c r="F19" s="4" t="n">
        <v>40.9999</v>
      </c>
      <c r="G19" s="4" t="n">
        <v>56.1642</v>
      </c>
      <c r="H19" s="4" t="n">
        <v>8.014900000000001</v>
      </c>
      <c r="I19" s="4" t="n">
        <v>0.169</v>
      </c>
      <c r="J19" s="4" t="n">
        <v>19.1139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1" customWidth="1" min="4" max="4"/>
    <col width="10" customWidth="1" min="5" max="5"/>
    <col width="10" customWidth="1" min="6" max="6"/>
    <col width="14" customWidth="1" min="7" max="7"/>
    <col width="16" customWidth="1" min="8" max="8"/>
    <col width="10" customWidth="1" min="9" max="9"/>
    <col width="10" customWidth="1" min="10" max="10"/>
    <col width="20" customWidth="1" min="11" max="11"/>
    <col width="18" customWidth="1" min="12" max="12"/>
  </cols>
  <sheetData>
    <row r="1">
      <c r="A1" s="3" t="inlineStr">
        <is>
          <t>fy</t>
        </is>
      </c>
      <c r="B1" s="3" t="inlineStr">
        <is>
          <t>Churn</t>
        </is>
      </c>
      <c r="C1" s="3" t="inlineStr">
        <is>
          <t>Contraction</t>
        </is>
      </c>
      <c r="D1" s="3" t="inlineStr">
        <is>
          <t>Expansion</t>
        </is>
      </c>
      <c r="E1" s="3" t="inlineStr">
        <is>
          <t>New logo</t>
        </is>
      </c>
      <c r="F1" s="3" t="inlineStr">
        <is>
          <t>opening</t>
        </is>
      </c>
      <c r="G1" s="3" t="inlineStr">
        <is>
          <t>closing_calc</t>
        </is>
      </c>
      <c r="H1" s="3" t="inlineStr">
        <is>
          <t>closing_master</t>
        </is>
      </c>
      <c r="I1" s="3" t="inlineStr">
        <is>
          <t>GRR</t>
        </is>
      </c>
      <c r="J1" s="3" t="inlineStr">
        <is>
          <t>NRR</t>
        </is>
      </c>
      <c r="K1" s="3" t="inlineStr">
        <is>
          <t>crm_clean_bookings</t>
        </is>
      </c>
      <c r="L1" s="3" t="inlineStr">
        <is>
          <t>crm_raw_bookings</t>
        </is>
      </c>
    </row>
    <row r="2">
      <c r="A2" s="4" t="inlineStr">
        <is>
          <t>FY24</t>
        </is>
      </c>
      <c r="B2" s="4" t="n">
        <v>-5.487</v>
      </c>
      <c r="C2" s="4" t="n">
        <v>-3.9129</v>
      </c>
      <c r="D2" s="4" t="n">
        <v>34.8</v>
      </c>
      <c r="E2" s="4" t="n">
        <v>41.6003</v>
      </c>
      <c r="F2" s="4" t="n">
        <v>140.9999</v>
      </c>
      <c r="G2" s="4" t="n">
        <v>208.0003</v>
      </c>
      <c r="H2" s="4" t="n">
        <v>208.0005</v>
      </c>
      <c r="I2" s="4" t="n">
        <v>0.9333</v>
      </c>
      <c r="J2" s="4" t="n">
        <v>1.1801</v>
      </c>
      <c r="K2" s="4" t="n">
        <v>41.6003</v>
      </c>
      <c r="L2" s="4" t="n">
        <v>41.62</v>
      </c>
    </row>
    <row r="3">
      <c r="A3" s="4" t="inlineStr">
        <is>
          <t>FY25</t>
        </is>
      </c>
      <c r="B3" s="4" t="n">
        <v>-6.4696</v>
      </c>
      <c r="C3" s="4" t="n">
        <v>-4.0304</v>
      </c>
      <c r="D3" s="4" t="n">
        <v>35.5004</v>
      </c>
      <c r="E3" s="4" t="n">
        <v>38.9995</v>
      </c>
      <c r="F3" s="4" t="n">
        <v>208.0005</v>
      </c>
      <c r="G3" s="4" t="n">
        <v>272.0004</v>
      </c>
      <c r="H3" s="4" t="n">
        <v>272.0004</v>
      </c>
      <c r="I3" s="4" t="n">
        <v>0.9495</v>
      </c>
      <c r="J3" s="4" t="n">
        <v>1.1202</v>
      </c>
      <c r="K3" s="4" t="n">
        <v>38.9995</v>
      </c>
      <c r="L3" s="4" t="n">
        <v>41.531</v>
      </c>
    </row>
    <row r="4">
      <c r="A4" s="4" t="inlineStr">
        <is>
          <t>FY26</t>
        </is>
      </c>
      <c r="B4" s="4" t="n">
        <v>-16.0264</v>
      </c>
      <c r="C4" s="4" t="n">
        <v>-8.973800000000001</v>
      </c>
      <c r="D4" s="4" t="n">
        <v>21.9996</v>
      </c>
      <c r="E4" s="4" t="n">
        <v>40.9999</v>
      </c>
      <c r="F4" s="4" t="n">
        <v>272.0004</v>
      </c>
      <c r="G4" s="4" t="n">
        <v>309.9997</v>
      </c>
      <c r="H4" s="4" t="n">
        <v>309.9993</v>
      </c>
      <c r="I4" s="4" t="n">
        <v>0.9081</v>
      </c>
      <c r="J4" s="4" t="n">
        <v>0.989</v>
      </c>
      <c r="K4" s="4" t="n">
        <v>40.9999</v>
      </c>
      <c r="L4" s="4" t="n">
        <v>44.054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6" customWidth="1" min="3" max="3"/>
    <col width="14" customWidth="1" min="4" max="4"/>
    <col width="10" customWidth="1" min="5" max="5"/>
    <col width="10" customWidth="1" min="6" max="6"/>
    <col width="12" customWidth="1" min="7" max="7"/>
    <col width="17" customWidth="1" min="8" max="8"/>
    <col width="10" customWidth="1" min="9" max="9"/>
    <col width="10" customWidth="1" min="10" max="10"/>
    <col width="16" customWidth="1" min="11" max="11"/>
    <col width="14" customWidth="1" min="12" max="12"/>
    <col width="10" customWidth="1" min="13" max="13"/>
    <col width="10" customWidth="1" min="14" max="14"/>
    <col width="12" customWidth="1" min="15" max="15"/>
    <col width="17" customWidth="1" min="16" max="16"/>
    <col width="10" customWidth="1" min="17" max="17"/>
    <col width="10" customWidth="1" min="18" max="18"/>
  </cols>
  <sheetData>
    <row r="1">
      <c r="A1" s="3" t="inlineStr">
        <is>
          <t>group</t>
        </is>
      </c>
      <c r="B1" s="3" t="inlineStr">
        <is>
          <t>cut</t>
        </is>
      </c>
      <c r="C1" s="3" t="inlineStr">
        <is>
          <t>FY25_customers</t>
        </is>
      </c>
      <c r="D1" s="3" t="inlineStr">
        <is>
          <t>FY25_opening</t>
        </is>
      </c>
      <c r="E1" s="3" t="inlineStr">
        <is>
          <t>FY25_exp</t>
        </is>
      </c>
      <c r="F1" s="3" t="inlineStr">
        <is>
          <t>FY25_con</t>
        </is>
      </c>
      <c r="G1" s="3" t="inlineStr">
        <is>
          <t>FY25_churn</t>
        </is>
      </c>
      <c r="H1" s="3" t="inlineStr">
        <is>
          <t>FY25_logo_churn</t>
        </is>
      </c>
      <c r="I1" s="3" t="inlineStr">
        <is>
          <t>FY25_GRR</t>
        </is>
      </c>
      <c r="J1" s="3" t="inlineStr">
        <is>
          <t>FY25_NRR</t>
        </is>
      </c>
      <c r="K1" s="3" t="inlineStr">
        <is>
          <t>FY26_customers</t>
        </is>
      </c>
      <c r="L1" s="3" t="inlineStr">
        <is>
          <t>FY26_opening</t>
        </is>
      </c>
      <c r="M1" s="3" t="inlineStr">
        <is>
          <t>FY26_exp</t>
        </is>
      </c>
      <c r="N1" s="3" t="inlineStr">
        <is>
          <t>FY26_con</t>
        </is>
      </c>
      <c r="O1" s="3" t="inlineStr">
        <is>
          <t>FY26_churn</t>
        </is>
      </c>
      <c r="P1" s="3" t="inlineStr">
        <is>
          <t>FY26_logo_churn</t>
        </is>
      </c>
      <c r="Q1" s="3" t="inlineStr">
        <is>
          <t>FY26_GRR</t>
        </is>
      </c>
      <c r="R1" s="3" t="inlineStr">
        <is>
          <t>FY26_NRR</t>
        </is>
      </c>
    </row>
    <row r="2">
      <c r="A2" s="4" t="inlineStr">
        <is>
          <t>FY20 or earlier</t>
        </is>
      </c>
      <c r="B2" s="4" t="inlineStr">
        <is>
          <t>cohort_band</t>
        </is>
      </c>
      <c r="C2" s="4" t="n">
        <v>116</v>
      </c>
      <c r="D2" s="4" t="n">
        <v>115.188</v>
      </c>
      <c r="E2" s="4" t="n">
        <v>21.0256</v>
      </c>
      <c r="F2" s="4" t="n">
        <v>-0.6639</v>
      </c>
      <c r="G2" s="4" t="n">
        <v>-3.2826</v>
      </c>
      <c r="H2" s="4" t="n">
        <v>0.0603</v>
      </c>
      <c r="I2" s="4" t="n">
        <v>0.9657</v>
      </c>
      <c r="J2" s="4" t="n">
        <v>1.1483</v>
      </c>
      <c r="K2" s="4" t="n">
        <v>109</v>
      </c>
      <c r="L2" s="4" t="n">
        <v>132.267</v>
      </c>
      <c r="M2" s="4" t="n">
        <v>6.8039</v>
      </c>
      <c r="N2" s="4" t="n">
        <v>-4.1583</v>
      </c>
      <c r="O2" s="4" t="n">
        <v>-7.2219</v>
      </c>
      <c r="P2" s="4" t="n">
        <v>0.0917</v>
      </c>
      <c r="Q2" s="4" t="n">
        <v>0.914</v>
      </c>
      <c r="R2" s="4" t="n">
        <v>0.9654</v>
      </c>
    </row>
    <row r="3">
      <c r="A3" s="4" t="inlineStr">
        <is>
          <t>FY21-22</t>
        </is>
      </c>
      <c r="B3" s="4" t="inlineStr">
        <is>
          <t>cohort_band</t>
        </is>
      </c>
      <c r="C3" s="4" t="n">
        <v>39</v>
      </c>
      <c r="D3" s="4" t="n">
        <v>29.2289</v>
      </c>
      <c r="E3" s="4" t="n">
        <v>3.8792</v>
      </c>
      <c r="F3" s="4" t="n">
        <v>-1.665</v>
      </c>
      <c r="G3" s="4" t="n">
        <v>-0.1071</v>
      </c>
      <c r="H3" s="4" t="n">
        <v>0.0256</v>
      </c>
      <c r="I3" s="4" t="n">
        <v>0.9394</v>
      </c>
      <c r="J3" s="4" t="n">
        <v>1.0721</v>
      </c>
      <c r="K3" s="4" t="n">
        <v>38</v>
      </c>
      <c r="L3" s="4" t="n">
        <v>31.336</v>
      </c>
      <c r="M3" s="4" t="n">
        <v>4.6642</v>
      </c>
      <c r="N3" s="4" t="n">
        <v>-0.2783</v>
      </c>
      <c r="O3" s="4" t="n">
        <v>-2.4667</v>
      </c>
      <c r="P3" s="4" t="n">
        <v>0.0789</v>
      </c>
      <c r="Q3" s="4" t="n">
        <v>0.9124</v>
      </c>
      <c r="R3" s="4" t="n">
        <v>1.0612</v>
      </c>
    </row>
    <row r="4">
      <c r="A4" s="4" t="inlineStr">
        <is>
          <t>FY23</t>
        </is>
      </c>
      <c r="B4" s="4" t="inlineStr">
        <is>
          <t>cohort_band</t>
        </is>
      </c>
      <c r="C4" s="4" t="n">
        <v>58</v>
      </c>
      <c r="D4" s="4" t="n">
        <v>21.9833</v>
      </c>
      <c r="E4" s="4" t="n">
        <v>3.8145</v>
      </c>
      <c r="F4" s="4" t="n">
        <v>-0.1887</v>
      </c>
      <c r="G4" s="4" t="n">
        <v>-0.6413</v>
      </c>
      <c r="H4" s="4" t="n">
        <v>0.0172</v>
      </c>
      <c r="I4" s="4" t="n">
        <v>0.9622000000000001</v>
      </c>
      <c r="J4" s="4" t="n">
        <v>1.1358</v>
      </c>
      <c r="K4" s="4" t="n">
        <v>57</v>
      </c>
      <c r="L4" s="4" t="n">
        <v>24.9679</v>
      </c>
      <c r="M4" s="4" t="n">
        <v>3.4876</v>
      </c>
      <c r="N4" s="4" t="n">
        <v>-1.3975</v>
      </c>
      <c r="O4" s="4" t="n">
        <v>-0.1227</v>
      </c>
      <c r="P4" s="4" t="n">
        <v>0.0175</v>
      </c>
      <c r="Q4" s="4" t="n">
        <v>0.9391</v>
      </c>
      <c r="R4" s="4" t="n">
        <v>1.0788</v>
      </c>
    </row>
    <row r="5">
      <c r="A5" s="4" t="inlineStr">
        <is>
          <t>FY24</t>
        </is>
      </c>
      <c r="B5" s="4" t="inlineStr">
        <is>
          <t>cohort_band</t>
        </is>
      </c>
      <c r="C5" s="4" t="n">
        <v>98</v>
      </c>
      <c r="D5" s="4" t="n">
        <v>41.6003</v>
      </c>
      <c r="E5" s="4" t="n">
        <v>6.7811</v>
      </c>
      <c r="F5" s="4" t="n">
        <v>-1.5128</v>
      </c>
      <c r="G5" s="4" t="n">
        <v>-2.4386</v>
      </c>
      <c r="H5" s="4" t="n">
        <v>0.08160000000000001</v>
      </c>
      <c r="I5" s="4" t="n">
        <v>0.905</v>
      </c>
      <c r="J5" s="4" t="n">
        <v>1.068</v>
      </c>
      <c r="K5" s="4" t="n">
        <v>90</v>
      </c>
      <c r="L5" s="4" t="n">
        <v>44.43</v>
      </c>
      <c r="M5" s="4" t="n">
        <v>3.4581</v>
      </c>
      <c r="N5" s="4" t="n">
        <v>-1.3924</v>
      </c>
      <c r="O5" s="4" t="n">
        <v>-3.4915</v>
      </c>
      <c r="P5" s="4" t="n">
        <v>0.1111</v>
      </c>
      <c r="Q5" s="4" t="n">
        <v>0.8901</v>
      </c>
      <c r="R5" s="4" t="n">
        <v>0.9679</v>
      </c>
    </row>
    <row r="6">
      <c r="A6" s="4" t="inlineStr">
        <is>
          <t>FY25</t>
        </is>
      </c>
      <c r="B6" s="4" t="inlineStr">
        <is>
          <t>cohort_band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n">
        <v>74</v>
      </c>
      <c r="L6" s="4" t="n">
        <v>38.9995</v>
      </c>
      <c r="M6" s="4" t="n">
        <v>3.5858</v>
      </c>
      <c r="N6" s="4" t="n">
        <v>-1.7473</v>
      </c>
      <c r="O6" s="4" t="n">
        <v>-2.7236</v>
      </c>
      <c r="P6" s="4" t="n">
        <v>0.08110000000000001</v>
      </c>
      <c r="Q6" s="4" t="n">
        <v>0.8854</v>
      </c>
      <c r="R6" s="4" t="n">
        <v>0.9772999999999999</v>
      </c>
    </row>
    <row r="7">
      <c r="A7" s="4" t="inlineStr">
        <is>
          <t>Discrete manufacturing</t>
        </is>
      </c>
      <c r="B7" s="4" t="inlineStr">
        <is>
          <t>segment</t>
        </is>
      </c>
      <c r="C7" s="4" t="n">
        <v>140</v>
      </c>
      <c r="D7" s="4" t="n">
        <v>108.5855</v>
      </c>
      <c r="E7" s="4" t="n">
        <v>14.8965</v>
      </c>
      <c r="F7" s="4" t="n">
        <v>-1.9768</v>
      </c>
      <c r="G7" s="4" t="n">
        <v>-4.5961</v>
      </c>
      <c r="H7" s="4" t="n">
        <v>0.07140000000000001</v>
      </c>
      <c r="I7" s="4" t="n">
        <v>0.9395</v>
      </c>
      <c r="J7" s="4" t="n">
        <v>1.0767</v>
      </c>
      <c r="K7" s="4" t="n">
        <v>163</v>
      </c>
      <c r="L7" s="4" t="n">
        <v>131.7676</v>
      </c>
      <c r="M7" s="4" t="n">
        <v>4.1015</v>
      </c>
      <c r="N7" s="4" t="n">
        <v>-3.3735</v>
      </c>
      <c r="O7" s="4" t="n">
        <v>-4.5211</v>
      </c>
      <c r="P7" s="4" t="n">
        <v>0.0736</v>
      </c>
      <c r="Q7" s="4" t="n">
        <v>0.9401</v>
      </c>
      <c r="R7" s="4" t="n">
        <v>0.9712</v>
      </c>
    </row>
    <row r="8">
      <c r="A8" s="4" t="inlineStr">
        <is>
          <t>Energy &amp; utilities</t>
        </is>
      </c>
      <c r="B8" s="4" t="inlineStr">
        <is>
          <t>segment</t>
        </is>
      </c>
      <c r="C8" s="4" t="n">
        <v>47</v>
      </c>
      <c r="D8" s="4" t="n">
        <v>23.0634</v>
      </c>
      <c r="E8" s="4" t="n">
        <v>4.0764</v>
      </c>
      <c r="F8" s="4" t="n">
        <v>-0.9056999999999999</v>
      </c>
      <c r="G8" s="4" t="n">
        <v>-0.0363</v>
      </c>
      <c r="H8" s="4" t="n">
        <v>0.0213</v>
      </c>
      <c r="I8" s="4" t="n">
        <v>0.9592000000000001</v>
      </c>
      <c r="J8" s="4" t="n">
        <v>1.1359</v>
      </c>
      <c r="K8" s="4" t="n">
        <v>59</v>
      </c>
      <c r="L8" s="4" t="n">
        <v>33.0698</v>
      </c>
      <c r="M8" s="4" t="n">
        <v>3.6916</v>
      </c>
      <c r="N8" s="4" t="n">
        <v>-1.3735</v>
      </c>
      <c r="O8" s="4" t="n">
        <v>-2.1457</v>
      </c>
      <c r="P8" s="4" t="n">
        <v>0.1017</v>
      </c>
      <c r="Q8" s="4" t="n">
        <v>0.8935999999999999</v>
      </c>
      <c r="R8" s="4" t="n">
        <v>1.0052</v>
      </c>
    </row>
    <row r="9">
      <c r="A9" s="4" t="inlineStr">
        <is>
          <t>Other</t>
        </is>
      </c>
      <c r="B9" s="4" t="inlineStr">
        <is>
          <t>segment</t>
        </is>
      </c>
      <c r="C9" s="4" t="n">
        <v>12</v>
      </c>
      <c r="D9" s="4" t="n">
        <v>18.3059</v>
      </c>
      <c r="E9" s="4" t="n">
        <v>4.6468</v>
      </c>
      <c r="F9" s="4" t="n">
        <v>-0.0895</v>
      </c>
      <c r="G9" s="4" t="n">
        <v>-0.2457</v>
      </c>
      <c r="H9" s="4" t="n">
        <v>0.1667</v>
      </c>
      <c r="I9" s="4" t="n">
        <v>0.9817</v>
      </c>
      <c r="J9" s="4" t="n">
        <v>1.2355</v>
      </c>
      <c r="K9" s="4" t="n">
        <v>12</v>
      </c>
      <c r="L9" s="4" t="n">
        <v>23.4873</v>
      </c>
      <c r="M9" s="4" t="n">
        <v>2.581</v>
      </c>
      <c r="N9" s="4" t="n">
        <v>0</v>
      </c>
      <c r="O9" s="4" t="n">
        <v>-0.4332</v>
      </c>
      <c r="P9" s="4" t="n">
        <v>0.25</v>
      </c>
      <c r="Q9" s="4" t="n">
        <v>0.9816</v>
      </c>
      <c r="R9" s="4" t="n">
        <v>1.0914</v>
      </c>
    </row>
    <row r="10">
      <c r="A10" s="4" t="inlineStr">
        <is>
          <t>Process industries</t>
        </is>
      </c>
      <c r="B10" s="4" t="inlineStr">
        <is>
          <t>segment</t>
        </is>
      </c>
      <c r="C10" s="4" t="n">
        <v>112</v>
      </c>
      <c r="D10" s="4" t="n">
        <v>58.0457</v>
      </c>
      <c r="E10" s="4" t="n">
        <v>11.8807</v>
      </c>
      <c r="F10" s="4" t="n">
        <v>-1.0584</v>
      </c>
      <c r="G10" s="4" t="n">
        <v>-1.5915</v>
      </c>
      <c r="H10" s="4" t="n">
        <v>0.0357</v>
      </c>
      <c r="I10" s="4" t="n">
        <v>0.9543</v>
      </c>
      <c r="J10" s="4" t="n">
        <v>1.159</v>
      </c>
      <c r="K10" s="4" t="n">
        <v>134</v>
      </c>
      <c r="L10" s="4" t="n">
        <v>83.67570000000001</v>
      </c>
      <c r="M10" s="4" t="n">
        <v>11.6255</v>
      </c>
      <c r="N10" s="4" t="n">
        <v>-4.2268</v>
      </c>
      <c r="O10" s="4" t="n">
        <v>-8.926399999999999</v>
      </c>
      <c r="P10" s="4" t="n">
        <v>0.0672</v>
      </c>
      <c r="Q10" s="4" t="n">
        <v>0.8428</v>
      </c>
      <c r="R10" s="4" t="n">
        <v>0.9817</v>
      </c>
    </row>
    <row r="11">
      <c r="A11" s="4" t="inlineStr">
        <is>
          <t>India</t>
        </is>
      </c>
      <c r="B11" s="4" t="inlineStr">
        <is>
          <t>region</t>
        </is>
      </c>
      <c r="C11" s="4" t="n">
        <v>233</v>
      </c>
      <c r="D11" s="4" t="n">
        <v>146.0089</v>
      </c>
      <c r="E11" s="4" t="n">
        <v>26.5367</v>
      </c>
      <c r="F11" s="4" t="n">
        <v>-1.7563</v>
      </c>
      <c r="G11" s="4" t="n">
        <v>-6.1189</v>
      </c>
      <c r="H11" s="4" t="n">
        <v>0.0687</v>
      </c>
      <c r="I11" s="4" t="n">
        <v>0.9461000000000001</v>
      </c>
      <c r="J11" s="4" t="n">
        <v>1.1278</v>
      </c>
      <c r="K11" s="4" t="n">
        <v>272</v>
      </c>
      <c r="L11" s="4" t="n">
        <v>194.3765</v>
      </c>
      <c r="M11" s="4" t="n">
        <v>14.6969</v>
      </c>
      <c r="N11" s="4" t="n">
        <v>-7.2208</v>
      </c>
      <c r="O11" s="4" t="n">
        <v>-13.6079</v>
      </c>
      <c r="P11" s="4" t="n">
        <v>0.0809</v>
      </c>
      <c r="Q11" s="4" t="n">
        <v>0.8928</v>
      </c>
      <c r="R11" s="4" t="n">
        <v>0.9685</v>
      </c>
    </row>
    <row r="12">
      <c r="A12" s="4" t="inlineStr">
        <is>
          <t>Middle East</t>
        </is>
      </c>
      <c r="B12" s="4" t="inlineStr">
        <is>
          <t>region</t>
        </is>
      </c>
      <c r="C12" s="4" t="n">
        <v>33</v>
      </c>
      <c r="D12" s="4" t="n">
        <v>25.4521</v>
      </c>
      <c r="E12" s="4" t="n">
        <v>2.2024</v>
      </c>
      <c r="F12" s="4" t="n">
        <v>-0.6049</v>
      </c>
      <c r="G12" s="4" t="n">
        <v>-0.3507</v>
      </c>
      <c r="H12" s="4" t="n">
        <v>0.0303</v>
      </c>
      <c r="I12" s="4" t="n">
        <v>0.9625</v>
      </c>
      <c r="J12" s="4" t="n">
        <v>1.049</v>
      </c>
      <c r="K12" s="4" t="n">
        <v>42</v>
      </c>
      <c r="L12" s="4" t="n">
        <v>33.0919</v>
      </c>
      <c r="M12" s="4" t="n">
        <v>1.8068</v>
      </c>
      <c r="N12" s="4" t="n">
        <v>-1.0787</v>
      </c>
      <c r="O12" s="4" t="n">
        <v>-1.2356</v>
      </c>
      <c r="P12" s="4" t="n">
        <v>0.09520000000000001</v>
      </c>
      <c r="Q12" s="4" t="n">
        <v>0.9301</v>
      </c>
      <c r="R12" s="4" t="n">
        <v>0.9847</v>
      </c>
    </row>
    <row r="13">
      <c r="A13" s="4" t="inlineStr">
        <is>
          <t>SEA</t>
        </is>
      </c>
      <c r="B13" s="4" t="inlineStr">
        <is>
          <t>region</t>
        </is>
      </c>
      <c r="C13" s="4" t="n">
        <v>45</v>
      </c>
      <c r="D13" s="4" t="n">
        <v>36.5395</v>
      </c>
      <c r="E13" s="4" t="n">
        <v>6.7613</v>
      </c>
      <c r="F13" s="4" t="n">
        <v>-1.6692</v>
      </c>
      <c r="G13" s="4" t="n">
        <v>0</v>
      </c>
      <c r="H13" s="4" t="n">
        <v>0</v>
      </c>
      <c r="I13" s="4" t="n">
        <v>0.9543</v>
      </c>
      <c r="J13" s="4" t="n">
        <v>1.1394</v>
      </c>
      <c r="K13" s="4" t="n">
        <v>54</v>
      </c>
      <c r="L13" s="4" t="n">
        <v>44.532</v>
      </c>
      <c r="M13" s="4" t="n">
        <v>5.4959</v>
      </c>
      <c r="N13" s="4" t="n">
        <v>-0.6743</v>
      </c>
      <c r="O13" s="4" t="n">
        <v>-1.1829</v>
      </c>
      <c r="P13" s="4" t="n">
        <v>0.0741</v>
      </c>
      <c r="Q13" s="4" t="n">
        <v>0.9583</v>
      </c>
      <c r="R13" s="4" t="n">
        <v>1.0817</v>
      </c>
    </row>
    <row r="14">
      <c r="A14" s="4" t="inlineStr">
        <is>
          <t>&lt;50%</t>
        </is>
      </c>
      <c r="B14" s="4" t="inlineStr">
        <is>
          <t>usage_band</t>
        </is>
      </c>
      <c r="C14" s="4" t="n">
        <v>51</v>
      </c>
      <c r="D14" s="4" t="n">
        <v>23.3247</v>
      </c>
      <c r="E14" s="4" t="n">
        <v>1.0939</v>
      </c>
      <c r="F14" s="4" t="n">
        <v>-1.5122</v>
      </c>
      <c r="G14" s="4" t="n">
        <v>-3.6069</v>
      </c>
      <c r="H14" s="4" t="n">
        <v>0.1373</v>
      </c>
      <c r="I14" s="4" t="n">
        <v>0.7805</v>
      </c>
      <c r="J14" s="4" t="n">
        <v>0.8274</v>
      </c>
      <c r="K14" s="4" t="n">
        <v>56</v>
      </c>
      <c r="L14" s="4" t="n">
        <v>25.6569</v>
      </c>
      <c r="M14" s="4" t="n">
        <v>1.098</v>
      </c>
      <c r="N14" s="4" t="n">
        <v>-1.1214</v>
      </c>
      <c r="O14" s="4" t="n">
        <v>-5.4373</v>
      </c>
      <c r="P14" s="4" t="n">
        <v>0.2143</v>
      </c>
      <c r="Q14" s="4" t="n">
        <v>0.7444</v>
      </c>
      <c r="R14" s="4" t="n">
        <v>0.7872</v>
      </c>
    </row>
    <row r="15">
      <c r="A15" s="4" t="inlineStr">
        <is>
          <t>50-70%</t>
        </is>
      </c>
      <c r="B15" s="4" t="inlineStr">
        <is>
          <t>usage_band</t>
        </is>
      </c>
      <c r="C15" s="4" t="n">
        <v>107</v>
      </c>
      <c r="D15" s="4" t="n">
        <v>84.1272</v>
      </c>
      <c r="E15" s="4" t="n">
        <v>8.722300000000001</v>
      </c>
      <c r="F15" s="4" t="n">
        <v>-1.9631</v>
      </c>
      <c r="G15" s="4" t="n">
        <v>-1.6844</v>
      </c>
      <c r="H15" s="4" t="n">
        <v>0.0467</v>
      </c>
      <c r="I15" s="4" t="n">
        <v>0.9566</v>
      </c>
      <c r="J15" s="4" t="n">
        <v>1.0603</v>
      </c>
      <c r="K15" s="4" t="n">
        <v>125</v>
      </c>
      <c r="L15" s="4" t="n">
        <v>100.2006</v>
      </c>
      <c r="M15" s="4" t="n">
        <v>4.9481</v>
      </c>
      <c r="N15" s="4" t="n">
        <v>-3.6419</v>
      </c>
      <c r="O15" s="4" t="n">
        <v>-2.9872</v>
      </c>
      <c r="P15" s="4" t="n">
        <v>0.08</v>
      </c>
      <c r="Q15" s="4" t="n">
        <v>0.9338</v>
      </c>
      <c r="R15" s="4" t="n">
        <v>0.9832</v>
      </c>
    </row>
    <row r="16">
      <c r="A16" s="4" t="inlineStr">
        <is>
          <t>&gt;70%</t>
        </is>
      </c>
      <c r="B16" s="4" t="inlineStr">
        <is>
          <t>usage_band</t>
        </is>
      </c>
      <c r="C16" s="4" t="n">
        <v>153</v>
      </c>
      <c r="D16" s="4" t="n">
        <v>100.5486</v>
      </c>
      <c r="E16" s="4" t="n">
        <v>25.6842</v>
      </c>
      <c r="F16" s="4" t="n">
        <v>-0.5551</v>
      </c>
      <c r="G16" s="4" t="n">
        <v>-1.1783</v>
      </c>
      <c r="H16" s="4" t="n">
        <v>0.0327</v>
      </c>
      <c r="I16" s="4" t="n">
        <v>0.9828</v>
      </c>
      <c r="J16" s="4" t="n">
        <v>1.2382</v>
      </c>
      <c r="K16" s="4" t="n">
        <v>187</v>
      </c>
      <c r="L16" s="4" t="n">
        <v>146.1429</v>
      </c>
      <c r="M16" s="4" t="n">
        <v>15.9535</v>
      </c>
      <c r="N16" s="4" t="n">
        <v>-4.2105</v>
      </c>
      <c r="O16" s="4" t="n">
        <v>-7.6019</v>
      </c>
      <c r="P16" s="4" t="n">
        <v>0.0428</v>
      </c>
      <c r="Q16" s="4" t="n">
        <v>0.9192</v>
      </c>
      <c r="R16" s="4" t="n">
        <v>1.0283</v>
      </c>
    </row>
    <row r="17">
      <c r="A17" s="4" t="inlineStr">
        <is>
          <t>Helix incumbent</t>
        </is>
      </c>
      <c r="B17" s="4" t="inlineStr">
        <is>
          <t>helix_incumbent</t>
        </is>
      </c>
      <c r="C17" s="4" t="n">
        <v>93</v>
      </c>
      <c r="D17" s="4" t="n">
        <v>85.1238</v>
      </c>
      <c r="E17" s="4" t="n">
        <v>15.12</v>
      </c>
      <c r="F17" s="4" t="n">
        <v>-0.9086</v>
      </c>
      <c r="G17" s="4" t="n">
        <v>-0.7488</v>
      </c>
      <c r="H17" s="4" t="n">
        <v>0.0538</v>
      </c>
      <c r="I17" s="4" t="n">
        <v>0.9805</v>
      </c>
      <c r="J17" s="4" t="n">
        <v>1.1582</v>
      </c>
      <c r="K17" s="4" t="n">
        <v>105</v>
      </c>
      <c r="L17" s="4" t="n">
        <v>108.5944</v>
      </c>
      <c r="M17" s="4" t="n">
        <v>4.0057</v>
      </c>
      <c r="N17" s="4" t="n">
        <v>-3.8273</v>
      </c>
      <c r="O17" s="4" t="n">
        <v>-8.6028</v>
      </c>
      <c r="P17" s="4" t="n">
        <v>0.0857</v>
      </c>
      <c r="Q17" s="4" t="n">
        <v>0.8855</v>
      </c>
      <c r="R17" s="4" t="n">
        <v>0.9224</v>
      </c>
    </row>
    <row r="18">
      <c r="A18" s="4" t="inlineStr">
        <is>
          <t>Other incumbent</t>
        </is>
      </c>
      <c r="B18" s="4" t="inlineStr">
        <is>
          <t>helix_incumbent</t>
        </is>
      </c>
      <c r="C18" s="4" t="n">
        <v>218</v>
      </c>
      <c r="D18" s="4" t="n">
        <v>122.8767</v>
      </c>
      <c r="E18" s="4" t="n">
        <v>20.3804</v>
      </c>
      <c r="F18" s="4" t="n">
        <v>-3.1218</v>
      </c>
      <c r="G18" s="4" t="n">
        <v>-5.7208</v>
      </c>
      <c r="H18" s="4" t="n">
        <v>0.055</v>
      </c>
      <c r="I18" s="4" t="n">
        <v>0.928</v>
      </c>
      <c r="J18" s="4" t="n">
        <v>1.0939</v>
      </c>
      <c r="K18" s="4" t="n">
        <v>263</v>
      </c>
      <c r="L18" s="4" t="n">
        <v>163.406</v>
      </c>
      <c r="M18" s="4" t="n">
        <v>17.9939</v>
      </c>
      <c r="N18" s="4" t="n">
        <v>-5.1465</v>
      </c>
      <c r="O18" s="4" t="n">
        <v>-7.4236</v>
      </c>
      <c r="P18" s="4" t="n">
        <v>0.0798</v>
      </c>
      <c r="Q18" s="4" t="n">
        <v>0.9231</v>
      </c>
      <c r="R18" s="4" t="n">
        <v>1.0332</v>
      </c>
    </row>
    <row r="19">
      <c r="A19" s="4" t="inlineStr">
        <is>
          <t>&lt;0.25 cr</t>
        </is>
      </c>
      <c r="B19" s="4" t="inlineStr">
        <is>
          <t>size_band</t>
        </is>
      </c>
      <c r="C19" s="4" t="n">
        <v>123</v>
      </c>
      <c r="D19" s="4" t="n">
        <v>20.8747</v>
      </c>
      <c r="E19" s="4" t="n">
        <v>1.2191</v>
      </c>
      <c r="F19" s="4" t="n">
        <v>-1.1028</v>
      </c>
      <c r="G19" s="4" t="n">
        <v>-6.4696</v>
      </c>
      <c r="H19" s="4" t="n">
        <v>0.1382</v>
      </c>
      <c r="I19" s="4" t="n">
        <v>0.6372</v>
      </c>
      <c r="J19" s="4" t="n">
        <v>0.6956</v>
      </c>
      <c r="K19" s="4" t="n">
        <v>116</v>
      </c>
      <c r="L19" s="4" t="n">
        <v>16.534</v>
      </c>
      <c r="M19" s="4" t="n">
        <v>1.4716</v>
      </c>
      <c r="N19" s="4" t="n">
        <v>-0.9591</v>
      </c>
      <c r="O19" s="4" t="n">
        <v>-1.5858</v>
      </c>
      <c r="P19" s="4" t="n">
        <v>0.1121</v>
      </c>
      <c r="Q19" s="4" t="n">
        <v>0.8461</v>
      </c>
      <c r="R19" s="4" t="n">
        <v>0.9351</v>
      </c>
    </row>
    <row r="20">
      <c r="A20" s="4" t="inlineStr">
        <is>
          <t>0.25-0.75</t>
        </is>
      </c>
      <c r="B20" s="4" t="inlineStr">
        <is>
          <t>size_band</t>
        </is>
      </c>
      <c r="C20" s="4" t="n">
        <v>118</v>
      </c>
      <c r="D20" s="4" t="n">
        <v>49.3516</v>
      </c>
      <c r="E20" s="4" t="n">
        <v>5.7121</v>
      </c>
      <c r="F20" s="4" t="n">
        <v>-1.769</v>
      </c>
      <c r="G20" s="4" t="n">
        <v>0</v>
      </c>
      <c r="H20" s="4" t="n">
        <v>0</v>
      </c>
      <c r="I20" s="4" t="n">
        <v>0.9641999999999999</v>
      </c>
      <c r="J20" s="4" t="n">
        <v>1.0799</v>
      </c>
      <c r="K20" s="4" t="n">
        <v>170</v>
      </c>
      <c r="L20" s="4" t="n">
        <v>76.4457</v>
      </c>
      <c r="M20" s="4" t="n">
        <v>5.612</v>
      </c>
      <c r="N20" s="4" t="n">
        <v>-3.9489</v>
      </c>
      <c r="O20" s="4" t="n">
        <v>-5.8572</v>
      </c>
      <c r="P20" s="4" t="n">
        <v>0.0706</v>
      </c>
      <c r="Q20" s="4" t="n">
        <v>0.8717</v>
      </c>
      <c r="R20" s="4" t="n">
        <v>0.9451000000000001</v>
      </c>
    </row>
    <row r="21">
      <c r="A21" s="4" t="inlineStr">
        <is>
          <t>0.75-2</t>
        </is>
      </c>
      <c r="B21" s="4" t="inlineStr">
        <is>
          <t>size_band</t>
        </is>
      </c>
      <c r="C21" s="4" t="n">
        <v>43</v>
      </c>
      <c r="D21" s="4" t="n">
        <v>39.3788</v>
      </c>
      <c r="E21" s="4" t="n">
        <v>7.303</v>
      </c>
      <c r="F21" s="4" t="n">
        <v>-0.1443</v>
      </c>
      <c r="G21" s="4" t="n">
        <v>0</v>
      </c>
      <c r="H21" s="4" t="n">
        <v>0</v>
      </c>
      <c r="I21" s="4" t="n">
        <v>0.9963</v>
      </c>
      <c r="J21" s="4" t="n">
        <v>1.1818</v>
      </c>
      <c r="K21" s="4" t="n">
        <v>55</v>
      </c>
      <c r="L21" s="4" t="n">
        <v>60.3734</v>
      </c>
      <c r="M21" s="4" t="n">
        <v>5.4566</v>
      </c>
      <c r="N21" s="4" t="n">
        <v>-1.6486</v>
      </c>
      <c r="O21" s="4" t="n">
        <v>-3.4758</v>
      </c>
      <c r="P21" s="4" t="n">
        <v>0.0727</v>
      </c>
      <c r="Q21" s="4" t="n">
        <v>0.9151</v>
      </c>
      <c r="R21" s="4" t="n">
        <v>1.0055</v>
      </c>
    </row>
    <row r="22">
      <c r="A22" s="4" t="inlineStr">
        <is>
          <t>&gt;2 cr</t>
        </is>
      </c>
      <c r="B22" s="4" t="inlineStr">
        <is>
          <t>size_band</t>
        </is>
      </c>
      <c r="C22" s="4" t="n">
        <v>27</v>
      </c>
      <c r="D22" s="4" t="n">
        <v>98.3954</v>
      </c>
      <c r="E22" s="4" t="n">
        <v>21.2662</v>
      </c>
      <c r="F22" s="4" t="n">
        <v>-1.0143</v>
      </c>
      <c r="G22" s="4" t="n">
        <v>0</v>
      </c>
      <c r="H22" s="4" t="n">
        <v>0</v>
      </c>
      <c r="I22" s="4" t="n">
        <v>0.9897</v>
      </c>
      <c r="J22" s="4" t="n">
        <v>1.2058</v>
      </c>
      <c r="K22" s="4" t="n">
        <v>27</v>
      </c>
      <c r="L22" s="4" t="n">
        <v>118.6473</v>
      </c>
      <c r="M22" s="4" t="n">
        <v>9.4594</v>
      </c>
      <c r="N22" s="4" t="n">
        <v>-2.4172</v>
      </c>
      <c r="O22" s="4" t="n">
        <v>-5.1076</v>
      </c>
      <c r="P22" s="4" t="n">
        <v>0.037</v>
      </c>
      <c r="Q22" s="4" t="n">
        <v>0.9366</v>
      </c>
      <c r="R22" s="4" t="n">
        <v>1.0163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3" t="inlineStr">
        <is>
          <t>group</t>
        </is>
      </c>
      <c r="B1" s="3" t="inlineStr">
        <is>
          <t>cut</t>
        </is>
      </c>
      <c r="C1" s="3" t="inlineStr">
        <is>
          <t>mean_2024</t>
        </is>
      </c>
      <c r="D1" s="3" t="inlineStr">
        <is>
          <t>mean_2025</t>
        </is>
      </c>
      <c r="E1" s="3" t="inlineStr">
        <is>
          <t>mean_2026</t>
        </is>
      </c>
      <c r="F1" s="3" t="inlineStr">
        <is>
          <t>size_2024</t>
        </is>
      </c>
      <c r="G1" s="3" t="inlineStr">
        <is>
          <t>size_2025</t>
        </is>
      </c>
      <c r="H1" s="3" t="inlineStr">
        <is>
          <t>size_2026</t>
        </is>
      </c>
    </row>
    <row r="2">
      <c r="A2" s="4" t="inlineStr">
        <is>
          <t>Discrete manufacturing</t>
        </is>
      </c>
      <c r="B2" s="4" t="inlineStr">
        <is>
          <t>segment</t>
        </is>
      </c>
      <c r="C2" s="4" t="n">
        <v>0.2547</v>
      </c>
      <c r="D2" s="4" t="n">
        <v>0.2</v>
      </c>
      <c r="E2" s="4" t="n">
        <v>0.1742</v>
      </c>
      <c r="F2" s="4" t="n">
        <v>161</v>
      </c>
      <c r="G2" s="4" t="n">
        <v>160</v>
      </c>
      <c r="H2" s="4" t="n">
        <v>178</v>
      </c>
    </row>
    <row r="3">
      <c r="A3" s="4" t="inlineStr">
        <is>
          <t>Energy &amp; utilities</t>
        </is>
      </c>
      <c r="B3" s="4" t="inlineStr">
        <is>
          <t>segment</t>
        </is>
      </c>
      <c r="C3" s="4" t="n">
        <v>0.2581</v>
      </c>
      <c r="D3" s="4" t="n">
        <v>0.2063</v>
      </c>
      <c r="E3" s="4" t="n">
        <v>0.2321</v>
      </c>
      <c r="F3" s="4" t="n">
        <v>62</v>
      </c>
      <c r="G3" s="4" t="n">
        <v>63</v>
      </c>
      <c r="H3" s="4" t="n">
        <v>56</v>
      </c>
    </row>
    <row r="4">
      <c r="A4" s="4" t="inlineStr">
        <is>
          <t>Other</t>
        </is>
      </c>
      <c r="B4" s="4" t="inlineStr">
        <is>
          <t>segment</t>
        </is>
      </c>
      <c r="C4" s="4" t="n">
        <v>0.1026</v>
      </c>
      <c r="D4" s="4" t="n">
        <v>0.0488</v>
      </c>
      <c r="E4" s="4" t="n">
        <v>0.075</v>
      </c>
      <c r="F4" s="4" t="n">
        <v>39</v>
      </c>
      <c r="G4" s="4" t="n">
        <v>41</v>
      </c>
      <c r="H4" s="4" t="n">
        <v>80</v>
      </c>
    </row>
    <row r="5">
      <c r="A5" s="4" t="inlineStr">
        <is>
          <t>Process industries</t>
        </is>
      </c>
      <c r="B5" s="4" t="inlineStr">
        <is>
          <t>segment</t>
        </is>
      </c>
      <c r="C5" s="4" t="n">
        <v>0.25</v>
      </c>
      <c r="D5" s="4" t="n">
        <v>0.2411</v>
      </c>
      <c r="E5" s="4" t="n">
        <v>0.1949</v>
      </c>
      <c r="F5" s="4" t="n">
        <v>148</v>
      </c>
      <c r="G5" s="4" t="n">
        <v>112</v>
      </c>
      <c r="H5" s="4" t="n">
        <v>118</v>
      </c>
    </row>
    <row r="6">
      <c r="A6" s="4" t="inlineStr">
        <is>
          <t>India</t>
        </is>
      </c>
      <c r="B6" s="4" t="inlineStr">
        <is>
          <t>region</t>
        </is>
      </c>
      <c r="C6" s="4" t="n">
        <v>0.259</v>
      </c>
      <c r="D6" s="4" t="n">
        <v>0.2022</v>
      </c>
      <c r="E6" s="4" t="n">
        <v>0.1683</v>
      </c>
      <c r="F6" s="4" t="n">
        <v>305</v>
      </c>
      <c r="G6" s="4" t="n">
        <v>272</v>
      </c>
      <c r="H6" s="4" t="n">
        <v>315</v>
      </c>
    </row>
    <row r="7">
      <c r="A7" s="4" t="inlineStr">
        <is>
          <t>Middle East</t>
        </is>
      </c>
      <c r="B7" s="4" t="inlineStr">
        <is>
          <t>region</t>
        </is>
      </c>
      <c r="C7" s="4" t="n">
        <v>0.234</v>
      </c>
      <c r="D7" s="4" t="n">
        <v>0.1923</v>
      </c>
      <c r="E7" s="4" t="n">
        <v>0.186</v>
      </c>
      <c r="F7" s="4" t="n">
        <v>47</v>
      </c>
      <c r="G7" s="4" t="n">
        <v>52</v>
      </c>
      <c r="H7" s="4" t="n">
        <v>43</v>
      </c>
    </row>
    <row r="8">
      <c r="A8" s="4" t="inlineStr">
        <is>
          <t>SEA</t>
        </is>
      </c>
      <c r="B8" s="4" t="inlineStr">
        <is>
          <t>region</t>
        </is>
      </c>
      <c r="C8" s="4" t="n">
        <v>0.1379</v>
      </c>
      <c r="D8" s="4" t="n">
        <v>0.1731</v>
      </c>
      <c r="E8" s="4" t="n">
        <v>0.1622</v>
      </c>
      <c r="F8" s="4" t="n">
        <v>58</v>
      </c>
      <c r="G8" s="4" t="n">
        <v>52</v>
      </c>
      <c r="H8" s="4" t="n">
        <v>74</v>
      </c>
    </row>
    <row r="9">
      <c r="A9" s="4" t="inlineStr">
        <is>
          <t>AE self-sourced</t>
        </is>
      </c>
      <c r="B9" s="4" t="inlineStr">
        <is>
          <t>lead_source_f</t>
        </is>
      </c>
      <c r="C9" s="4" t="n">
        <v>0.2661</v>
      </c>
      <c r="D9" s="4" t="n">
        <v>0.2386</v>
      </c>
      <c r="E9" s="4" t="n">
        <v>0.1982</v>
      </c>
      <c r="F9" s="4" t="n">
        <v>109</v>
      </c>
      <c r="G9" s="4" t="n">
        <v>88</v>
      </c>
      <c r="H9" s="4" t="n">
        <v>111</v>
      </c>
    </row>
    <row r="10">
      <c r="A10" s="4" t="inlineStr">
        <is>
          <t>Customer referral</t>
        </is>
      </c>
      <c r="B10" s="4" t="inlineStr">
        <is>
          <t>lead_source_f</t>
        </is>
      </c>
      <c r="C10" s="4" t="n">
        <v>0.2963</v>
      </c>
      <c r="D10" s="4" t="n">
        <v>0.375</v>
      </c>
      <c r="E10" s="4" t="n">
        <v>0.2353</v>
      </c>
      <c r="F10" s="4" t="n">
        <v>27</v>
      </c>
      <c r="G10" s="4" t="n">
        <v>32</v>
      </c>
      <c r="H10" s="4" t="n">
        <v>34</v>
      </c>
    </row>
    <row r="11">
      <c r="A11" s="4" t="inlineStr">
        <is>
          <t>Event</t>
        </is>
      </c>
      <c r="B11" s="4" t="inlineStr">
        <is>
          <t>lead_source_f</t>
        </is>
      </c>
      <c r="C11" s="4" t="n">
        <v>0.1818</v>
      </c>
      <c r="D11" s="4" t="n">
        <v>0.2143</v>
      </c>
      <c r="E11" s="4" t="n">
        <v>0.09379999999999999</v>
      </c>
      <c r="F11" s="4" t="n">
        <v>33</v>
      </c>
      <c r="G11" s="4" t="n">
        <v>28</v>
      </c>
      <c r="H11" s="4" t="n">
        <v>32</v>
      </c>
    </row>
    <row r="12">
      <c r="A12" s="4" t="inlineStr">
        <is>
          <t>Partner</t>
        </is>
      </c>
      <c r="B12" s="4" t="inlineStr">
        <is>
          <t>lead_source_f</t>
        </is>
      </c>
      <c r="C12" s="4" t="n">
        <v>0.375</v>
      </c>
      <c r="D12" s="4" t="n">
        <v>0.1212</v>
      </c>
      <c r="E12" s="4" t="n">
        <v>0.15</v>
      </c>
      <c r="F12" s="4" t="n">
        <v>32</v>
      </c>
      <c r="G12" s="4" t="n">
        <v>33</v>
      </c>
      <c r="H12" s="4" t="n">
        <v>40</v>
      </c>
    </row>
    <row r="13">
      <c r="A13" s="4" t="inlineStr">
        <is>
          <t>SDR / Marketing</t>
        </is>
      </c>
      <c r="B13" s="4" t="inlineStr">
        <is>
          <t>lead_source_f</t>
        </is>
      </c>
      <c r="C13" s="4" t="n">
        <v>0.2159</v>
      </c>
      <c r="D13" s="4" t="n">
        <v>0.1598</v>
      </c>
      <c r="E13" s="4" t="n">
        <v>0.1469</v>
      </c>
      <c r="F13" s="4" t="n">
        <v>176</v>
      </c>
      <c r="G13" s="4" t="n">
        <v>169</v>
      </c>
      <c r="H13" s="4" t="n">
        <v>177</v>
      </c>
    </row>
    <row r="14">
      <c r="A14" s="4" t="inlineStr">
        <is>
          <t>Unknown</t>
        </is>
      </c>
      <c r="B14" s="4" t="inlineStr">
        <is>
          <t>lead_source_f</t>
        </is>
      </c>
      <c r="C14" s="4" t="n">
        <v>0.1515</v>
      </c>
      <c r="D14" s="4" t="n">
        <v>0.1538</v>
      </c>
      <c r="E14" s="4" t="n">
        <v>0.2105</v>
      </c>
      <c r="F14" s="4" t="n">
        <v>33</v>
      </c>
      <c r="G14" s="4" t="n">
        <v>26</v>
      </c>
      <c r="H14" s="4" t="n">
        <v>38</v>
      </c>
    </row>
    <row r="15">
      <c r="A15" s="4" t="inlineStr">
        <is>
          <t>Bharat Machine Intelligence</t>
        </is>
      </c>
      <c r="B15" s="4" t="inlineStr">
        <is>
          <t>comp_group</t>
        </is>
      </c>
      <c r="C15" s="4" t="n">
        <v>0.07140000000000001</v>
      </c>
      <c r="D15" s="4" t="n">
        <v>0.129</v>
      </c>
      <c r="E15" s="4" t="n">
        <v>0.0789</v>
      </c>
      <c r="F15" s="4" t="n">
        <v>28</v>
      </c>
      <c r="G15" s="4" t="n">
        <v>31</v>
      </c>
      <c r="H15" s="4" t="n">
        <v>38</v>
      </c>
    </row>
    <row r="16">
      <c r="A16" s="4" t="inlineStr">
        <is>
          <t>Helix Automation</t>
        </is>
      </c>
      <c r="B16" s="4" t="inlineStr">
        <is>
          <t>comp_group</t>
        </is>
      </c>
      <c r="C16" s="4" t="n">
        <v>0.06</v>
      </c>
      <c r="D16" s="4" t="n">
        <v>0.0482</v>
      </c>
      <c r="E16" s="4" t="n">
        <v>0.0481</v>
      </c>
      <c r="F16" s="4" t="n">
        <v>100</v>
      </c>
      <c r="G16" s="4" t="n">
        <v>83</v>
      </c>
      <c r="H16" s="4" t="n">
        <v>104</v>
      </c>
    </row>
    <row r="17">
      <c r="A17" s="4" t="inlineStr">
        <is>
          <t>None identified</t>
        </is>
      </c>
      <c r="B17" s="4" t="inlineStr">
        <is>
          <t>comp_group</t>
        </is>
      </c>
      <c r="C17" s="4" t="n">
        <v>0.3592</v>
      </c>
      <c r="D17" s="4" t="n">
        <v>0.3253</v>
      </c>
      <c r="E17" s="4" t="n">
        <v>0.2564</v>
      </c>
      <c r="F17" s="4" t="n">
        <v>103</v>
      </c>
      <c r="G17" s="4" t="n">
        <v>83</v>
      </c>
      <c r="H17" s="4" t="n">
        <v>78</v>
      </c>
    </row>
    <row r="18">
      <c r="A18" s="4" t="inlineStr">
        <is>
          <t>TrueSense AI</t>
        </is>
      </c>
      <c r="B18" s="4" t="inlineStr">
        <is>
          <t>comp_group</t>
        </is>
      </c>
      <c r="C18" s="4" t="n">
        <v>0.0545</v>
      </c>
      <c r="D18" s="4" t="n">
        <v>0.0455</v>
      </c>
      <c r="E18" s="4" t="n">
        <v>0.07290000000000001</v>
      </c>
      <c r="F18" s="4" t="n">
        <v>55</v>
      </c>
      <c r="G18" s="4" t="n">
        <v>66</v>
      </c>
      <c r="H18" s="4" t="n">
        <v>96</v>
      </c>
    </row>
    <row r="19">
      <c r="A19" s="4" t="inlineStr">
        <is>
          <t>Unknown</t>
        </is>
      </c>
      <c r="B19" s="4" t="inlineStr">
        <is>
          <t>comp_group</t>
        </is>
      </c>
      <c r="C19" s="4" t="n">
        <v>0.4032</v>
      </c>
      <c r="D19" s="4" t="n">
        <v>0.3186</v>
      </c>
      <c r="E19" s="4" t="n">
        <v>0.3276</v>
      </c>
      <c r="F19" s="4" t="n">
        <v>124</v>
      </c>
      <c r="G19" s="4" t="n">
        <v>113</v>
      </c>
      <c r="H19" s="4" t="n">
        <v>116</v>
      </c>
    </row>
    <row r="20">
      <c r="A20" s="4" t="inlineStr">
        <is>
          <t>9-24 months</t>
        </is>
      </c>
      <c r="B20" s="4" t="inlineStr">
        <is>
          <t>tenure_band</t>
        </is>
      </c>
      <c r="C20" s="4" t="n">
        <v>0.1556</v>
      </c>
      <c r="D20" s="4" t="n">
        <v>0.2262</v>
      </c>
      <c r="E20" s="4" t="n">
        <v>0.1268</v>
      </c>
      <c r="F20" s="4" t="n">
        <v>45</v>
      </c>
      <c r="G20" s="4" t="n">
        <v>84</v>
      </c>
      <c r="H20" s="4" t="n">
        <v>71</v>
      </c>
    </row>
    <row r="21">
      <c r="A21" s="4" t="inlineStr">
        <is>
          <t>&lt;9 months</t>
        </is>
      </c>
      <c r="B21" s="4" t="inlineStr">
        <is>
          <t>tenure_band</t>
        </is>
      </c>
      <c r="C21" s="4" t="n">
        <v>0.08989999999999999</v>
      </c>
      <c r="D21" s="4" t="n">
        <v>0.1053</v>
      </c>
      <c r="E21" s="4" t="n">
        <v>0.09229999999999999</v>
      </c>
      <c r="F21" s="4" t="n">
        <v>89</v>
      </c>
      <c r="G21" s="4" t="n">
        <v>57</v>
      </c>
      <c r="H21" s="4" t="n">
        <v>65</v>
      </c>
    </row>
    <row r="22">
      <c r="A22" s="4" t="inlineStr">
        <is>
          <t>&gt;24 months</t>
        </is>
      </c>
      <c r="B22" s="4" t="inlineStr">
        <is>
          <t>tenure_band</t>
        </is>
      </c>
      <c r="C22" s="4" t="n">
        <v>0.3156</v>
      </c>
      <c r="D22" s="4" t="n">
        <v>0.215</v>
      </c>
      <c r="E22" s="4" t="n">
        <v>0.192</v>
      </c>
      <c r="F22" s="4" t="n">
        <v>225</v>
      </c>
      <c r="G22" s="4" t="n">
        <v>200</v>
      </c>
      <c r="H22" s="4" t="n">
        <v>250</v>
      </c>
    </row>
    <row r="23">
      <c r="A23" s="4" t="inlineStr">
        <is>
          <t>Reassigned deal</t>
        </is>
      </c>
      <c r="B23" s="4" t="inlineStr">
        <is>
          <t>tenure_band</t>
        </is>
      </c>
      <c r="C23" s="4" t="n">
        <v>0.2353</v>
      </c>
      <c r="D23" s="4" t="n">
        <v>0.1714</v>
      </c>
      <c r="E23" s="4" t="n">
        <v>0.2174</v>
      </c>
      <c r="F23" s="4" t="n">
        <v>51</v>
      </c>
      <c r="G23" s="4" t="n">
        <v>35</v>
      </c>
      <c r="H23" s="4" t="n">
        <v>46</v>
      </c>
    </row>
    <row r="24">
      <c r="A24" s="4" t="inlineStr">
        <is>
          <t>1 contact</t>
        </is>
      </c>
      <c r="B24" s="4" t="inlineStr">
        <is>
          <t>threading</t>
        </is>
      </c>
      <c r="C24" s="4" t="n">
        <v>0.1845</v>
      </c>
      <c r="D24" s="4" t="n">
        <v>0.1674</v>
      </c>
      <c r="E24" s="4" t="n">
        <v>0.1328</v>
      </c>
      <c r="F24" s="4" t="n">
        <v>233</v>
      </c>
      <c r="G24" s="4" t="n">
        <v>221</v>
      </c>
      <c r="H24" s="4" t="n">
        <v>271</v>
      </c>
    </row>
    <row r="25">
      <c r="A25" s="4" t="inlineStr">
        <is>
          <t>2 contacts</t>
        </is>
      </c>
      <c r="B25" s="4" t="inlineStr">
        <is>
          <t>threading</t>
        </is>
      </c>
      <c r="C25" s="4" t="n">
        <v>0.2444</v>
      </c>
      <c r="D25" s="4" t="n">
        <v>0.2239</v>
      </c>
      <c r="E25" s="4" t="n">
        <v>0.2</v>
      </c>
      <c r="F25" s="4" t="n">
        <v>90</v>
      </c>
      <c r="G25" s="4" t="n">
        <v>67</v>
      </c>
      <c r="H25" s="4" t="n">
        <v>75</v>
      </c>
    </row>
    <row r="26">
      <c r="A26" s="4" t="inlineStr">
        <is>
          <t>3+ contacts</t>
        </is>
      </c>
      <c r="B26" s="4" t="inlineStr">
        <is>
          <t>threading</t>
        </is>
      </c>
      <c r="C26" s="4" t="n">
        <v>0.3793</v>
      </c>
      <c r="D26" s="4" t="n">
        <v>0.25</v>
      </c>
      <c r="E26" s="4" t="n">
        <v>0.2558</v>
      </c>
      <c r="F26" s="4" t="n">
        <v>87</v>
      </c>
      <c r="G26" s="4" t="n">
        <v>88</v>
      </c>
      <c r="H26" s="4" t="n">
        <v>86</v>
      </c>
    </row>
    <row r="27">
      <c r="A27" s="4" t="inlineStr">
        <is>
          <t>1,000-5,000 cr</t>
        </is>
      </c>
      <c r="B27" s="4" t="inlineStr">
        <is>
          <t>acc_revenue_band</t>
        </is>
      </c>
      <c r="C27" s="4" t="n">
        <v>0.2593</v>
      </c>
      <c r="D27" s="4" t="n">
        <v>0.2447</v>
      </c>
      <c r="E27" s="4" t="n">
        <v>0.1856</v>
      </c>
      <c r="F27" s="4" t="n">
        <v>108</v>
      </c>
      <c r="G27" s="4" t="n">
        <v>94</v>
      </c>
      <c r="H27" s="4" t="n">
        <v>97</v>
      </c>
    </row>
    <row r="28">
      <c r="A28" s="4" t="inlineStr">
        <is>
          <t>5,000-20,000 cr</t>
        </is>
      </c>
      <c r="B28" s="4" t="inlineStr">
        <is>
          <t>acc_revenue_band</t>
        </is>
      </c>
      <c r="C28" s="4" t="n">
        <v>0.3538</v>
      </c>
      <c r="D28" s="4" t="n">
        <v>0.2609</v>
      </c>
      <c r="E28" s="4" t="n">
        <v>0.1613</v>
      </c>
      <c r="F28" s="4" t="n">
        <v>65</v>
      </c>
      <c r="G28" s="4" t="n">
        <v>46</v>
      </c>
      <c r="H28" s="4" t="n">
        <v>62</v>
      </c>
    </row>
    <row r="29">
      <c r="A29" s="4" t="inlineStr">
        <is>
          <t>500-1,000 cr</t>
        </is>
      </c>
      <c r="B29" s="4" t="inlineStr">
        <is>
          <t>acc_revenue_band</t>
        </is>
      </c>
      <c r="C29" s="4" t="n">
        <v>0.2198</v>
      </c>
      <c r="D29" s="4" t="n">
        <v>0.1728</v>
      </c>
      <c r="E29" s="4" t="n">
        <v>0.1771</v>
      </c>
      <c r="F29" s="4" t="n">
        <v>91</v>
      </c>
      <c r="G29" s="4" t="n">
        <v>81</v>
      </c>
      <c r="H29" s="4" t="n">
        <v>96</v>
      </c>
    </row>
    <row r="30">
      <c r="A30" s="4" t="inlineStr">
        <is>
          <t>&lt; 500 cr</t>
        </is>
      </c>
      <c r="B30" s="4" t="inlineStr">
        <is>
          <t>acc_revenue_band</t>
        </is>
      </c>
      <c r="C30" s="4" t="n">
        <v>0.1441</v>
      </c>
      <c r="D30" s="4" t="n">
        <v>0.152</v>
      </c>
      <c r="E30" s="4" t="n">
        <v>0.1304</v>
      </c>
      <c r="F30" s="4" t="n">
        <v>111</v>
      </c>
      <c r="G30" s="4" t="n">
        <v>125</v>
      </c>
      <c r="H30" s="4" t="n">
        <v>138</v>
      </c>
    </row>
    <row r="31">
      <c r="A31" s="4" t="inlineStr">
        <is>
          <t>&gt; 20,000 cr</t>
        </is>
      </c>
      <c r="B31" s="4" t="inlineStr">
        <is>
          <t>acc_revenue_band</t>
        </is>
      </c>
      <c r="C31" s="4" t="n">
        <v>0.3143</v>
      </c>
      <c r="D31" s="4" t="n">
        <v>0.2</v>
      </c>
      <c r="E31" s="4" t="n">
        <v>0.2564</v>
      </c>
      <c r="F31" s="4" t="n">
        <v>35</v>
      </c>
      <c r="G31" s="4" t="n">
        <v>30</v>
      </c>
      <c r="H31" s="4" t="n">
        <v>39</v>
      </c>
    </row>
    <row r="32">
      <c r="A32" s="4" t="inlineStr">
        <is>
          <t>N</t>
        </is>
      </c>
      <c r="B32" s="4" t="inlineStr">
        <is>
          <t>buyer_committee_includes_fin_proc_it</t>
        </is>
      </c>
      <c r="C32" s="4" t="n">
        <v>0.2735</v>
      </c>
      <c r="D32" s="4" t="n">
        <v>0.2045</v>
      </c>
      <c r="E32" s="4" t="n">
        <v>0.1912</v>
      </c>
      <c r="F32" s="4" t="n">
        <v>234</v>
      </c>
      <c r="G32" s="4" t="n">
        <v>176</v>
      </c>
      <c r="H32" s="4" t="n">
        <v>136</v>
      </c>
    </row>
    <row r="33">
      <c r="A33" s="4" t="inlineStr">
        <is>
          <t>Y</t>
        </is>
      </c>
      <c r="B33" s="4" t="inlineStr">
        <is>
          <t>buyer_committee_includes_fin_proc_it</t>
        </is>
      </c>
      <c r="C33" s="4" t="n">
        <v>0.1932</v>
      </c>
      <c r="D33" s="4" t="n">
        <v>0.19</v>
      </c>
      <c r="E33" s="4" t="n">
        <v>0.1588</v>
      </c>
      <c r="F33" s="4" t="n">
        <v>176</v>
      </c>
      <c r="G33" s="4" t="n">
        <v>200</v>
      </c>
      <c r="H33" s="4" t="n">
        <v>296</v>
      </c>
    </row>
    <row r="34">
      <c r="A34" s="4" t="inlineStr">
        <is>
          <t>N</t>
        </is>
      </c>
      <c r="B34" s="4" t="inlineStr">
        <is>
          <t>proof_of_value</t>
        </is>
      </c>
      <c r="C34" s="4" t="n">
        <v>0.2646</v>
      </c>
      <c r="D34" s="4" t="n">
        <v>0.1823</v>
      </c>
      <c r="E34" s="4" t="n">
        <v>0.1327</v>
      </c>
      <c r="F34" s="4" t="n">
        <v>223</v>
      </c>
      <c r="G34" s="4" t="n">
        <v>181</v>
      </c>
      <c r="H34" s="4" t="n">
        <v>196</v>
      </c>
    </row>
    <row r="35">
      <c r="A35" s="4" t="inlineStr">
        <is>
          <t>Y</t>
        </is>
      </c>
      <c r="B35" s="4" t="inlineStr">
        <is>
          <t>proof_of_value</t>
        </is>
      </c>
      <c r="C35" s="4" t="n">
        <v>0.2086</v>
      </c>
      <c r="D35" s="4" t="n">
        <v>0.2103</v>
      </c>
      <c r="E35" s="4" t="n">
        <v>0.1992</v>
      </c>
      <c r="F35" s="4" t="n">
        <v>187</v>
      </c>
      <c r="G35" s="4" t="n">
        <v>195</v>
      </c>
      <c r="H35" s="4" t="n">
        <v>236</v>
      </c>
    </row>
    <row r="36">
      <c r="A36" s="4" t="inlineStr">
        <is>
          <t>N</t>
        </is>
      </c>
      <c r="B36" s="4" t="inlineStr">
        <is>
          <t>bc</t>
        </is>
      </c>
      <c r="C36" s="4" t="n">
        <v>0.3514</v>
      </c>
      <c r="D36" s="4" t="n">
        <v>0.2892</v>
      </c>
      <c r="E36" s="4" t="n">
        <v>0.3226</v>
      </c>
      <c r="F36" s="4" t="n">
        <v>74</v>
      </c>
      <c r="G36" s="4" t="n">
        <v>83</v>
      </c>
      <c r="H36" s="4" t="n">
        <v>93</v>
      </c>
    </row>
    <row r="37">
      <c r="A37" s="4" t="inlineStr">
        <is>
          <t>Y</t>
        </is>
      </c>
      <c r="B37" s="4" t="inlineStr">
        <is>
          <t>bc</t>
        </is>
      </c>
      <c r="C37" s="4" t="n">
        <v>0.4878</v>
      </c>
      <c r="D37" s="4" t="n">
        <v>0.4105</v>
      </c>
      <c r="E37" s="4" t="n">
        <v>0.407</v>
      </c>
      <c r="F37" s="4" t="n">
        <v>123</v>
      </c>
      <c r="G37" s="4" t="n">
        <v>95</v>
      </c>
      <c r="H37" s="4" t="n">
        <v>86</v>
      </c>
    </row>
    <row r="38">
      <c r="A38" s="4" t="inlineStr">
        <is>
          <t>Low fit</t>
        </is>
      </c>
      <c r="B38" s="4" t="inlineStr">
        <is>
          <t>fit_tier</t>
        </is>
      </c>
      <c r="C38" s="4" t="n">
        <v>0.1278</v>
      </c>
      <c r="D38" s="4" t="n">
        <v>0.1008</v>
      </c>
      <c r="E38" s="4" t="n">
        <v>0.1036</v>
      </c>
      <c r="F38" s="4" t="n">
        <v>133</v>
      </c>
      <c r="G38" s="4" t="n">
        <v>129</v>
      </c>
      <c r="H38" s="4" t="n">
        <v>193</v>
      </c>
    </row>
    <row r="39">
      <c r="A39" s="4" t="inlineStr">
        <is>
          <t>Mid fit</t>
        </is>
      </c>
      <c r="B39" s="4" t="inlineStr">
        <is>
          <t>fit_tier</t>
        </is>
      </c>
      <c r="C39" s="4" t="n">
        <v>0.2074</v>
      </c>
      <c r="D39" s="4" t="n">
        <v>0.2047</v>
      </c>
      <c r="E39" s="4" t="n">
        <v>0.1818</v>
      </c>
      <c r="F39" s="4" t="n">
        <v>135</v>
      </c>
      <c r="G39" s="4" t="n">
        <v>127</v>
      </c>
      <c r="H39" s="4" t="n">
        <v>121</v>
      </c>
    </row>
    <row r="40">
      <c r="A40" s="4" t="inlineStr">
        <is>
          <t>High fit</t>
        </is>
      </c>
      <c r="B40" s="4" t="inlineStr">
        <is>
          <t>fit_tier</t>
        </is>
      </c>
      <c r="C40" s="4" t="n">
        <v>0.3732</v>
      </c>
      <c r="D40" s="4" t="n">
        <v>0.2917</v>
      </c>
      <c r="E40" s="4" t="n">
        <v>0.2627</v>
      </c>
      <c r="F40" s="4" t="n">
        <v>142</v>
      </c>
      <c r="G40" s="4" t="n">
        <v>120</v>
      </c>
      <c r="H40" s="4" t="n">
        <v>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model</t>
        </is>
      </c>
      <c r="B1" s="3" t="inlineStr">
        <is>
          <t>term</t>
        </is>
      </c>
      <c r="C1" s="3" t="inlineStr">
        <is>
          <t>coef</t>
        </is>
      </c>
      <c r="D1" s="3" t="inlineStr">
        <is>
          <t>OR</t>
        </is>
      </c>
      <c r="E1" s="3" t="inlineStr">
        <is>
          <t>p</t>
        </is>
      </c>
    </row>
    <row r="2">
      <c r="A2" s="4" t="inlineStr">
        <is>
          <t>fit score (FY24-25)</t>
        </is>
      </c>
      <c r="B2" s="4" t="inlineStr">
        <is>
          <t>Intercept</t>
        </is>
      </c>
      <c r="C2" s="4" t="n">
        <v>-4.4163</v>
      </c>
      <c r="D2" s="4" t="inlineStr"/>
      <c r="E2" s="4" t="inlineStr"/>
    </row>
    <row r="3">
      <c r="A3" s="4" t="inlineStr">
        <is>
          <t>fit score (FY24-25)</t>
        </is>
      </c>
      <c r="B3" s="4" t="inlineStr">
        <is>
          <t>C(seg, Treatment('Discrete'))[T.Energy]</t>
        </is>
      </c>
      <c r="C3" s="4" t="n">
        <v>-0.2781</v>
      </c>
      <c r="D3" s="4" t="inlineStr"/>
      <c r="E3" s="4" t="inlineStr"/>
    </row>
    <row r="4">
      <c r="A4" s="4" t="inlineStr">
        <is>
          <t>fit score (FY24-25)</t>
        </is>
      </c>
      <c r="B4" s="4" t="inlineStr">
        <is>
          <t>C(seg, Treatment('Discrete'))[T.Other]</t>
        </is>
      </c>
      <c r="C4" s="4" t="n">
        <v>-0.8639</v>
      </c>
      <c r="D4" s="4" t="inlineStr"/>
      <c r="E4" s="4" t="inlineStr"/>
    </row>
    <row r="5">
      <c r="A5" s="4" t="inlineStr">
        <is>
          <t>fit score (FY24-25)</t>
        </is>
      </c>
      <c r="B5" s="4" t="inlineStr">
        <is>
          <t>C(seg, Treatment('Discrete'))[T.Process]</t>
        </is>
      </c>
      <c r="C5" s="4" t="n">
        <v>-0.1626</v>
      </c>
      <c r="D5" s="4" t="inlineStr"/>
      <c r="E5" s="4" t="inlineStr"/>
    </row>
    <row r="6">
      <c r="A6" s="4" t="inlineStr">
        <is>
          <t>fit score (FY24-25)</t>
        </is>
      </c>
      <c r="B6" s="4" t="inlineStr">
        <is>
          <t>helix_inc[T.True]</t>
        </is>
      </c>
      <c r="C6" s="4" t="n">
        <v>-0.4883</v>
      </c>
      <c r="D6" s="4" t="inlineStr"/>
      <c r="E6" s="4" t="inlineStr"/>
    </row>
    <row r="7">
      <c r="A7" s="4" t="inlineStr">
        <is>
          <t>fit score (FY24-25)</t>
        </is>
      </c>
      <c r="B7" s="4" t="inlineStr">
        <is>
          <t>C(region)[T.Middle East]</t>
        </is>
      </c>
      <c r="C7" s="4" t="n">
        <v>-0.0156</v>
      </c>
      <c r="D7" s="4" t="inlineStr"/>
      <c r="E7" s="4" t="inlineStr"/>
    </row>
    <row r="8">
      <c r="A8" s="4" t="inlineStr">
        <is>
          <t>fit score (FY24-25)</t>
        </is>
      </c>
      <c r="B8" s="4" t="inlineStr">
        <is>
          <t>C(region)[T.SEA]</t>
        </is>
      </c>
      <c r="C8" s="4" t="n">
        <v>-0.5613</v>
      </c>
      <c r="D8" s="4" t="inlineStr"/>
      <c r="E8" s="4" t="inlineStr"/>
    </row>
    <row r="9">
      <c r="A9" s="4" t="inlineStr">
        <is>
          <t>fit score (FY24-25)</t>
        </is>
      </c>
      <c r="B9" s="4" t="inlineStr">
        <is>
          <t>band_idx</t>
        </is>
      </c>
      <c r="C9" s="4" t="n">
        <v>0.0578</v>
      </c>
      <c r="D9" s="4" t="inlineStr"/>
      <c r="E9" s="4" t="inlineStr"/>
    </row>
    <row r="10">
      <c r="A10" s="4" t="inlineStr">
        <is>
          <t>fit score (FY24-25)</t>
        </is>
      </c>
      <c r="B10" s="4" t="inlineStr">
        <is>
          <t>log_assets</t>
        </is>
      </c>
      <c r="C10" s="4" t="n">
        <v>0.4522</v>
      </c>
      <c r="D10" s="4" t="inlineStr"/>
      <c r="E10" s="4" t="inlineStr"/>
    </row>
    <row r="11">
      <c r="A11" s="4" t="inlineStr">
        <is>
          <t>win model (all FY)</t>
        </is>
      </c>
      <c r="B11" s="4" t="inlineStr">
        <is>
          <t>Intercept</t>
        </is>
      </c>
      <c r="C11" s="4" t="n">
        <v>-0.045</v>
      </c>
      <c r="D11" s="4" t="n">
        <v>0.956</v>
      </c>
      <c r="E11" s="4" t="n">
        <v>0.857</v>
      </c>
    </row>
    <row r="12">
      <c r="A12" s="4" t="inlineStr">
        <is>
          <t>win model (all FY)</t>
        </is>
      </c>
      <c r="B12" s="4" t="inlineStr">
        <is>
          <t>C(threading)[T.2 contacts]</t>
        </is>
      </c>
      <c r="C12" s="4" t="n">
        <v>0.373</v>
      </c>
      <c r="D12" s="4" t="n">
        <v>1.452</v>
      </c>
      <c r="E12" s="4" t="n">
        <v>0.061</v>
      </c>
    </row>
    <row r="13">
      <c r="A13" s="4" t="inlineStr">
        <is>
          <t>win model (all FY)</t>
        </is>
      </c>
      <c r="B13" s="4" t="inlineStr">
        <is>
          <t>C(threading)[T.3+ contacts]</t>
        </is>
      </c>
      <c r="C13" s="4" t="n">
        <v>0.768</v>
      </c>
      <c r="D13" s="4" t="n">
        <v>2.155</v>
      </c>
      <c r="E13" s="4" t="n">
        <v>0</v>
      </c>
    </row>
    <row r="14">
      <c r="A14" s="4" t="inlineStr">
        <is>
          <t>win model (all FY)</t>
        </is>
      </c>
      <c r="B14" s="4" t="inlineStr">
        <is>
          <t>C(tenure, Treatment('&gt;24 months'))[T.9-24 months]</t>
        </is>
      </c>
      <c r="C14" s="4" t="n">
        <v>-0.392</v>
      </c>
      <c r="D14" s="4" t="n">
        <v>0.676</v>
      </c>
      <c r="E14" s="4" t="n">
        <v>0.075</v>
      </c>
    </row>
    <row r="15">
      <c r="A15" s="4" t="inlineStr">
        <is>
          <t>win model (all FY)</t>
        </is>
      </c>
      <c r="B15" s="4" t="inlineStr">
        <is>
          <t>C(tenure, Treatment('&gt;24 months'))[T.&lt;9 months]</t>
        </is>
      </c>
      <c r="C15" s="4" t="n">
        <v>-1.105</v>
      </c>
      <c r="D15" s="4" t="n">
        <v>0.331</v>
      </c>
      <c r="E15" s="4" t="n">
        <v>0</v>
      </c>
    </row>
    <row r="16">
      <c r="A16" s="4" t="inlineStr">
        <is>
          <t>win model (all FY)</t>
        </is>
      </c>
      <c r="B16" s="4" t="inlineStr">
        <is>
          <t>C(tenure, Treatment('&gt;24 months'))[T.Reassigned deal]</t>
        </is>
      </c>
      <c r="C16" s="4" t="n">
        <v>-0.21</v>
      </c>
      <c r="D16" s="4" t="n">
        <v>0.8100000000000001</v>
      </c>
      <c r="E16" s="4" t="n">
        <v>0.391</v>
      </c>
    </row>
    <row r="17">
      <c r="A17" s="4" t="inlineStr">
        <is>
          <t>win model (all FY)</t>
        </is>
      </c>
      <c r="B17" s="4" t="inlineStr">
        <is>
          <t>C(buyer_committee_includes_fin_proc_it)[T.Y]</t>
        </is>
      </c>
      <c r="C17" s="4" t="n">
        <v>-0.274</v>
      </c>
      <c r="D17" s="4" t="n">
        <v>0.76</v>
      </c>
      <c r="E17" s="4" t="n">
        <v>0.08</v>
      </c>
    </row>
    <row r="18">
      <c r="A18" s="4" t="inlineStr">
        <is>
          <t>win model (all FY)</t>
        </is>
      </c>
      <c r="B18" s="4" t="inlineStr">
        <is>
          <t>C(proof_of_value)[T.Y]</t>
        </is>
      </c>
      <c r="C18" s="4" t="n">
        <v>0.008999999999999999</v>
      </c>
      <c r="D18" s="4" t="n">
        <v>1.009</v>
      </c>
      <c r="E18" s="4" t="n">
        <v>0.953</v>
      </c>
    </row>
    <row r="19">
      <c r="A19" s="4" t="inlineStr">
        <is>
          <t>win model (all FY)</t>
        </is>
      </c>
      <c r="B19" s="4" t="inlineStr">
        <is>
          <t>C(lead_source_f, Treatment('SDR / Marketing'))[T.AE self-sourced]</t>
        </is>
      </c>
      <c r="C19" s="4" t="n">
        <v>0.522</v>
      </c>
      <c r="D19" s="4" t="n">
        <v>1.685</v>
      </c>
      <c r="E19" s="4" t="n">
        <v>0.006</v>
      </c>
    </row>
    <row r="20">
      <c r="A20" s="4" t="inlineStr">
        <is>
          <t>win model (all FY)</t>
        </is>
      </c>
      <c r="B20" s="4" t="inlineStr">
        <is>
          <t>C(lead_source_f, Treatment('SDR / Marketing'))[T.Customer referral]</t>
        </is>
      </c>
      <c r="C20" s="4" t="n">
        <v>0.991</v>
      </c>
      <c r="D20" s="4" t="n">
        <v>2.694</v>
      </c>
      <c r="E20" s="4" t="n">
        <v>0</v>
      </c>
    </row>
    <row r="21">
      <c r="A21" s="4" t="inlineStr">
        <is>
          <t>win model (all FY)</t>
        </is>
      </c>
      <c r="B21" s="4" t="inlineStr">
        <is>
          <t>C(lead_source_f, Treatment('SDR / Marketing'))[T.Event]</t>
        </is>
      </c>
      <c r="C21" s="4" t="n">
        <v>-0.115</v>
      </c>
      <c r="D21" s="4" t="n">
        <v>0.891</v>
      </c>
      <c r="E21" s="4" t="n">
        <v>0.721</v>
      </c>
    </row>
    <row r="22">
      <c r="A22" s="4" t="inlineStr">
        <is>
          <t>win model (all FY)</t>
        </is>
      </c>
      <c r="B22" s="4" t="inlineStr">
        <is>
          <t>C(lead_source_f, Treatment('SDR / Marketing'))[T.Partner]</t>
        </is>
      </c>
      <c r="C22" s="4" t="n">
        <v>0.356</v>
      </c>
      <c r="D22" s="4" t="n">
        <v>1.428</v>
      </c>
      <c r="E22" s="4" t="n">
        <v>0.205</v>
      </c>
    </row>
    <row r="23">
      <c r="A23" s="4" t="inlineStr">
        <is>
          <t>win model (all FY)</t>
        </is>
      </c>
      <c r="B23" s="4" t="inlineStr">
        <is>
          <t>C(lead_source_f, Treatment('SDR / Marketing'))[T.Unknown]</t>
        </is>
      </c>
      <c r="C23" s="4" t="n">
        <v>0.098</v>
      </c>
      <c r="D23" s="4" t="n">
        <v>1.103</v>
      </c>
      <c r="E23" s="4" t="n">
        <v>0.752</v>
      </c>
    </row>
    <row r="24">
      <c r="A24" s="4" t="inlineStr">
        <is>
          <t>win model (all FY)</t>
        </is>
      </c>
      <c r="B24" s="4" t="inlineStr">
        <is>
          <t>C(fy)[T.2025]</t>
        </is>
      </c>
      <c r="C24" s="4" t="n">
        <v>-0.235</v>
      </c>
      <c r="D24" s="4" t="n">
        <v>0.791</v>
      </c>
      <c r="E24" s="4" t="n">
        <v>0.212</v>
      </c>
    </row>
    <row r="25">
      <c r="A25" s="4" t="inlineStr">
        <is>
          <t>win model (all FY)</t>
        </is>
      </c>
      <c r="B25" s="4" t="inlineStr">
        <is>
          <t>C(fy)[T.2026]</t>
        </is>
      </c>
      <c r="C25" s="4" t="n">
        <v>-0.269</v>
      </c>
      <c r="D25" s="4" t="n">
        <v>0.764</v>
      </c>
      <c r="E25" s="4" t="n">
        <v>0.158</v>
      </c>
    </row>
    <row r="26">
      <c r="A26" s="4" t="inlineStr">
        <is>
          <t>win model (all FY)</t>
        </is>
      </c>
      <c r="B26" s="4" t="inlineStr">
        <is>
          <t>fit_score_logit</t>
        </is>
      </c>
      <c r="C26" s="4" t="n">
        <v>1.005</v>
      </c>
      <c r="D26" s="4" t="n">
        <v>2.733</v>
      </c>
      <c r="E26" s="4" t="n">
        <v>0</v>
      </c>
    </row>
    <row r="27">
      <c r="A27" s="4" t="inlineStr">
        <is>
          <t>decomposition</t>
        </is>
      </c>
      <c r="B27" s="4" t="inlineStr">
        <is>
          <t>a24</t>
        </is>
      </c>
      <c r="C27" s="4" t="n">
        <v>0.239</v>
      </c>
      <c r="D27" s="4" t="inlineStr"/>
      <c r="E27" s="4" t="inlineStr"/>
    </row>
    <row r="28">
      <c r="A28" s="4" t="inlineStr">
        <is>
          <t>decomposition</t>
        </is>
      </c>
      <c r="B28" s="4" t="inlineStr">
        <is>
          <t>a26</t>
        </is>
      </c>
      <c r="C28" s="4" t="n">
        <v>0.169</v>
      </c>
      <c r="D28" s="4" t="inlineStr"/>
      <c r="E28" s="4" t="inlineStr"/>
    </row>
    <row r="29">
      <c r="A29" s="4" t="inlineStr">
        <is>
          <t>decomposition</t>
        </is>
      </c>
      <c r="B29" s="4" t="inlineStr">
        <is>
          <t>p24</t>
        </is>
      </c>
      <c r="C29" s="4" t="n">
        <v>0.239</v>
      </c>
      <c r="D29" s="4" t="inlineStr"/>
      <c r="E29" s="4" t="inlineStr"/>
    </row>
    <row r="30">
      <c r="A30" s="4" t="inlineStr">
        <is>
          <t>decomposition</t>
        </is>
      </c>
      <c r="B30" s="4" t="inlineStr">
        <is>
          <t>p26_24</t>
        </is>
      </c>
      <c r="C30" s="4" t="n">
        <v>0.2053</v>
      </c>
      <c r="D30" s="4" t="inlineStr"/>
      <c r="E30" s="4" t="inlineStr"/>
    </row>
    <row r="31">
      <c r="A31" s="4" t="inlineStr">
        <is>
          <t>decomposition</t>
        </is>
      </c>
      <c r="B31" s="4" t="inlineStr">
        <is>
          <t>p26</t>
        </is>
      </c>
      <c r="C31" s="4" t="n">
        <v>0.169</v>
      </c>
      <c r="D31" s="4" t="inlineStr"/>
      <c r="E31" s="4" t="inlineStr"/>
    </row>
    <row r="32">
      <c r="A32" s="4" t="inlineStr">
        <is>
          <t>decomposition</t>
        </is>
      </c>
      <c r="B32" s="4" t="inlineStr">
        <is>
          <t>mix_fit_score_logit</t>
        </is>
      </c>
      <c r="C32" s="4" t="n">
        <v>-0.027</v>
      </c>
      <c r="D32" s="4" t="inlineStr"/>
      <c r="E32" s="4" t="inlineStr"/>
    </row>
    <row r="33">
      <c r="A33" s="4" t="inlineStr">
        <is>
          <t>decomposition</t>
        </is>
      </c>
      <c r="B33" s="4" t="inlineStr">
        <is>
          <t>mix_threading</t>
        </is>
      </c>
      <c r="C33" s="4" t="n">
        <v>-0.006</v>
      </c>
      <c r="D33" s="4" t="inlineStr"/>
      <c r="E33" s="4" t="inlineStr"/>
    </row>
    <row r="34">
      <c r="A34" s="4" t="inlineStr">
        <is>
          <t>decomposition</t>
        </is>
      </c>
      <c r="B34" s="4" t="inlineStr">
        <is>
          <t>mix_tenure</t>
        </is>
      </c>
      <c r="C34" s="4" t="n">
        <v>0.0061</v>
      </c>
      <c r="D34" s="4" t="inlineStr"/>
      <c r="E34" s="4" t="inlineStr"/>
    </row>
    <row r="35">
      <c r="A35" s="4" t="inlineStr">
        <is>
          <t>decomposition</t>
        </is>
      </c>
      <c r="B35" s="4" t="inlineStr">
        <is>
          <t>mix_buyer_committee_includes_fin_proc_it</t>
        </is>
      </c>
      <c r="C35" s="4" t="n">
        <v>-0.0111</v>
      </c>
      <c r="D35" s="4" t="inlineStr"/>
      <c r="E35" s="4" t="inlineStr"/>
    </row>
    <row r="36">
      <c r="A36" s="4" t="inlineStr">
        <is>
          <t>decomposition</t>
        </is>
      </c>
      <c r="B36" s="4" t="inlineStr">
        <is>
          <t>mix_proof_of_value</t>
        </is>
      </c>
      <c r="C36" s="4" t="n">
        <v>0.0001</v>
      </c>
      <c r="D36" s="4" t="inlineStr"/>
      <c r="E36" s="4" t="inlineStr"/>
    </row>
    <row r="37">
      <c r="A37" s="4" t="inlineStr">
        <is>
          <t>decomposition</t>
        </is>
      </c>
      <c r="B37" s="4" t="inlineStr">
        <is>
          <t>mix_lead_source_f</t>
        </is>
      </c>
      <c r="C37" s="4" t="n">
        <v>0.0039</v>
      </c>
      <c r="D37" s="4" t="inlineStr"/>
      <c r="E37" s="4" t="inlineStr"/>
    </row>
    <row r="38">
      <c r="A38" s="4" t="inlineStr">
        <is>
          <t>decomposition</t>
        </is>
      </c>
      <c r="B38" s="4" t="inlineStr">
        <is>
          <t>AUC_train</t>
        </is>
      </c>
      <c r="C38" s="4" t="n">
        <v>0.6681</v>
      </c>
      <c r="D38" s="4" t="inlineStr"/>
      <c r="E38" s="4" t="inlineStr"/>
    </row>
    <row r="39">
      <c r="A39" s="4" t="inlineStr">
        <is>
          <t>decomposition</t>
        </is>
      </c>
      <c r="B39" s="4" t="inlineStr">
        <is>
          <t>AUC_FY26_out_of_time</t>
        </is>
      </c>
      <c r="C39" s="4" t="n">
        <v>0.6515</v>
      </c>
      <c r="D39" s="4" t="inlineStr"/>
      <c r="E39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33" customWidth="1" min="4" max="4"/>
    <col width="19" customWidth="1" min="5" max="5"/>
    <col width="19" customWidth="1" min="6" max="6"/>
    <col width="19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3" t="inlineStr">
        <is>
          <t>quarter</t>
        </is>
      </c>
      <c r="B1" s="3" t="inlineStr">
        <is>
          <t>quarter_start</t>
        </is>
      </c>
      <c r="C1" s="3" t="inlineStr">
        <is>
          <t>quota_cr</t>
        </is>
      </c>
      <c r="D1" s="3" t="inlineStr">
        <is>
          <t>reported_pipeline_in_quarter_cr</t>
        </is>
      </c>
      <c r="E1" s="3" t="inlineStr">
        <is>
          <t>commit_call_m1_cr</t>
        </is>
      </c>
      <c r="F1" s="3" t="inlineStr">
        <is>
          <t>commit_call_m2_cr</t>
        </is>
      </c>
      <c r="G1" s="3" t="inlineStr">
        <is>
          <t>commit_call_m3_cr</t>
        </is>
      </c>
      <c r="H1" s="3" t="inlineStr">
        <is>
          <t>bookings_reported_cr</t>
        </is>
      </c>
      <c r="I1" s="3" t="inlineStr">
        <is>
          <t>fy</t>
        </is>
      </c>
      <c r="J1" s="3" t="inlineStr">
        <is>
          <t>err_m1</t>
        </is>
      </c>
      <c r="K1" s="3" t="inlineStr">
        <is>
          <t>err_m2</t>
        </is>
      </c>
      <c r="L1" s="3" t="inlineStr">
        <is>
          <t>err_m3</t>
        </is>
      </c>
      <c r="M1" s="3" t="inlineStr">
        <is>
          <t>coverage</t>
        </is>
      </c>
      <c r="N1" s="3" t="inlineStr">
        <is>
          <t>attain</t>
        </is>
      </c>
      <c r="O1" s="3" t="inlineStr">
        <is>
          <t>pipe_conv</t>
        </is>
      </c>
    </row>
    <row r="2">
      <c r="A2" s="4" t="inlineStr">
        <is>
          <t>Q1 FY24</t>
        </is>
      </c>
      <c r="B2" s="4" t="inlineStr">
        <is>
          <t>2023-04-01</t>
        </is>
      </c>
      <c r="C2" s="4" t="n">
        <v>14.39</v>
      </c>
      <c r="D2" s="4" t="n">
        <v>28.21</v>
      </c>
      <c r="E2" s="4" t="n">
        <v>13.51</v>
      </c>
      <c r="F2" s="4" t="n">
        <v>12.85</v>
      </c>
      <c r="G2" s="4" t="n">
        <v>12.65</v>
      </c>
      <c r="H2" s="4" t="n">
        <v>12.63</v>
      </c>
      <c r="I2" s="4" t="inlineStr">
        <is>
          <t>FY24</t>
        </is>
      </c>
      <c r="J2" s="4" t="n">
        <v>0.0697</v>
      </c>
      <c r="K2" s="4" t="n">
        <v>0.0174</v>
      </c>
      <c r="L2" s="4" t="n">
        <v>0.0016</v>
      </c>
      <c r="M2" s="4" t="n">
        <v>1.9604</v>
      </c>
      <c r="N2" s="4" t="n">
        <v>0.8777</v>
      </c>
      <c r="O2" s="4" t="n">
        <v>0.4477</v>
      </c>
    </row>
    <row r="3">
      <c r="A3" s="4" t="inlineStr">
        <is>
          <t>Q2 FY24</t>
        </is>
      </c>
      <c r="B3" s="4" t="inlineStr">
        <is>
          <t>2023-07-01</t>
        </is>
      </c>
      <c r="C3" s="4" t="n">
        <v>15.16</v>
      </c>
      <c r="D3" s="4" t="n">
        <v>26.59</v>
      </c>
      <c r="E3" s="4" t="n">
        <v>9.31</v>
      </c>
      <c r="F3" s="4" t="n">
        <v>8.92</v>
      </c>
      <c r="G3" s="4" t="n">
        <v>9.57</v>
      </c>
      <c r="H3" s="4" t="n">
        <v>9.27</v>
      </c>
      <c r="I3" s="4" t="inlineStr">
        <is>
          <t>FY24</t>
        </is>
      </c>
      <c r="J3" s="4" t="n">
        <v>0.0043</v>
      </c>
      <c r="K3" s="4" t="n">
        <v>-0.0378</v>
      </c>
      <c r="L3" s="4" t="n">
        <v>0.0324</v>
      </c>
      <c r="M3" s="4" t="n">
        <v>1.754</v>
      </c>
      <c r="N3" s="4" t="n">
        <v>0.6115</v>
      </c>
      <c r="O3" s="4" t="n">
        <v>0.3486</v>
      </c>
    </row>
    <row r="4">
      <c r="A4" s="4" t="inlineStr">
        <is>
          <t>Q3 FY24</t>
        </is>
      </c>
      <c r="B4" s="4" t="inlineStr">
        <is>
          <t>2023-10-01</t>
        </is>
      </c>
      <c r="C4" s="4" t="n">
        <v>15.63</v>
      </c>
      <c r="D4" s="4" t="n">
        <v>37.16</v>
      </c>
      <c r="E4" s="4" t="n">
        <v>10.79</v>
      </c>
      <c r="F4" s="4" t="n">
        <v>10.45</v>
      </c>
      <c r="G4" s="4" t="n">
        <v>10.37</v>
      </c>
      <c r="H4" s="4" t="n">
        <v>10.13</v>
      </c>
      <c r="I4" s="4" t="inlineStr">
        <is>
          <t>FY24</t>
        </is>
      </c>
      <c r="J4" s="4" t="n">
        <v>0.06519999999999999</v>
      </c>
      <c r="K4" s="4" t="n">
        <v>0.0316</v>
      </c>
      <c r="L4" s="4" t="n">
        <v>0.0237</v>
      </c>
      <c r="M4" s="4" t="n">
        <v>2.3775</v>
      </c>
      <c r="N4" s="4" t="n">
        <v>0.6481</v>
      </c>
      <c r="O4" s="4" t="n">
        <v>0.2726</v>
      </c>
    </row>
    <row r="5">
      <c r="A5" s="4" t="inlineStr">
        <is>
          <t>Q4 FY24</t>
        </is>
      </c>
      <c r="B5" s="4" t="inlineStr">
        <is>
          <t>2024-01-01</t>
        </is>
      </c>
      <c r="C5" s="4" t="n">
        <v>16.11</v>
      </c>
      <c r="D5" s="4" t="n">
        <v>46.25</v>
      </c>
      <c r="E5" s="4" t="n">
        <v>10.95</v>
      </c>
      <c r="F5" s="4" t="n">
        <v>10.52</v>
      </c>
      <c r="G5" s="4" t="n">
        <v>9.66</v>
      </c>
      <c r="H5" s="4" t="n">
        <v>9.58</v>
      </c>
      <c r="I5" s="4" t="inlineStr">
        <is>
          <t>FY24</t>
        </is>
      </c>
      <c r="J5" s="4" t="n">
        <v>0.143</v>
      </c>
      <c r="K5" s="4" t="n">
        <v>0.09810000000000001</v>
      </c>
      <c r="L5" s="4" t="n">
        <v>0.008399999999999999</v>
      </c>
      <c r="M5" s="4" t="n">
        <v>2.8709</v>
      </c>
      <c r="N5" s="4" t="n">
        <v>0.5947</v>
      </c>
      <c r="O5" s="4" t="n">
        <v>0.2071</v>
      </c>
    </row>
    <row r="6">
      <c r="A6" s="4" t="inlineStr">
        <is>
          <t>Q1 FY25</t>
        </is>
      </c>
      <c r="B6" s="4" t="inlineStr">
        <is>
          <t>2024-04-01</t>
        </is>
      </c>
      <c r="C6" s="4" t="n">
        <v>16.33</v>
      </c>
      <c r="D6" s="4" t="n">
        <v>45.61</v>
      </c>
      <c r="E6" s="4" t="n">
        <v>11.65</v>
      </c>
      <c r="F6" s="4" t="n">
        <v>12.66</v>
      </c>
      <c r="G6" s="4" t="n">
        <v>12.62</v>
      </c>
      <c r="H6" s="4" t="n">
        <v>13.07</v>
      </c>
      <c r="I6" s="4" t="inlineStr">
        <is>
          <t>FY25</t>
        </is>
      </c>
      <c r="J6" s="4" t="n">
        <v>-0.1086</v>
      </c>
      <c r="K6" s="4" t="n">
        <v>-0.0314</v>
      </c>
      <c r="L6" s="4" t="n">
        <v>-0.0344</v>
      </c>
      <c r="M6" s="4" t="n">
        <v>2.793</v>
      </c>
      <c r="N6" s="4" t="n">
        <v>0.8004</v>
      </c>
      <c r="O6" s="4" t="n">
        <v>0.2866</v>
      </c>
    </row>
    <row r="7">
      <c r="A7" s="4" t="inlineStr">
        <is>
          <t>Q2 FY25</t>
        </is>
      </c>
      <c r="B7" s="4" t="inlineStr">
        <is>
          <t>2024-07-01</t>
        </is>
      </c>
      <c r="C7" s="4" t="n">
        <v>16.49</v>
      </c>
      <c r="D7" s="4" t="n">
        <v>43.63</v>
      </c>
      <c r="E7" s="4" t="n">
        <v>15.52</v>
      </c>
      <c r="F7" s="4" t="n">
        <v>13.98</v>
      </c>
      <c r="G7" s="4" t="n">
        <v>12.5</v>
      </c>
      <c r="H7" s="4" t="n">
        <v>11.59</v>
      </c>
      <c r="I7" s="4" t="inlineStr">
        <is>
          <t>FY25</t>
        </is>
      </c>
      <c r="J7" s="4" t="n">
        <v>0.3391</v>
      </c>
      <c r="K7" s="4" t="n">
        <v>0.2062</v>
      </c>
      <c r="L7" s="4" t="n">
        <v>0.0785</v>
      </c>
      <c r="M7" s="4" t="n">
        <v>2.6458</v>
      </c>
      <c r="N7" s="4" t="n">
        <v>0.7029</v>
      </c>
      <c r="O7" s="4" t="n">
        <v>0.2656</v>
      </c>
    </row>
    <row r="8">
      <c r="A8" s="4" t="inlineStr">
        <is>
          <t>Q3 FY25</t>
        </is>
      </c>
      <c r="B8" s="4" t="inlineStr">
        <is>
          <t>2024-10-01</t>
        </is>
      </c>
      <c r="C8" s="4" t="n">
        <v>16.81</v>
      </c>
      <c r="D8" s="4" t="n">
        <v>39.39</v>
      </c>
      <c r="E8" s="4" t="n">
        <v>7.61</v>
      </c>
      <c r="F8" s="4" t="n">
        <v>7.31</v>
      </c>
      <c r="G8" s="4" t="n">
        <v>7.21</v>
      </c>
      <c r="H8" s="4" t="n">
        <v>7.17</v>
      </c>
      <c r="I8" s="4" t="inlineStr">
        <is>
          <t>FY25</t>
        </is>
      </c>
      <c r="J8" s="4" t="n">
        <v>0.0614</v>
      </c>
      <c r="K8" s="4" t="n">
        <v>0.0195</v>
      </c>
      <c r="L8" s="4" t="n">
        <v>0.0056</v>
      </c>
      <c r="M8" s="4" t="n">
        <v>2.3432</v>
      </c>
      <c r="N8" s="4" t="n">
        <v>0.4265</v>
      </c>
      <c r="O8" s="4" t="n">
        <v>0.182</v>
      </c>
    </row>
    <row r="9">
      <c r="A9" s="4" t="inlineStr">
        <is>
          <t>Q4 FY25</t>
        </is>
      </c>
      <c r="B9" s="4" t="inlineStr">
        <is>
          <t>2025-01-01</t>
        </is>
      </c>
      <c r="C9" s="4" t="n">
        <v>17.16</v>
      </c>
      <c r="D9" s="4" t="n">
        <v>50.7</v>
      </c>
      <c r="E9" s="4" t="n">
        <v>10.09</v>
      </c>
      <c r="F9" s="4" t="n">
        <v>9.699999999999999</v>
      </c>
      <c r="G9" s="4" t="n">
        <v>9.710000000000001</v>
      </c>
      <c r="H9" s="4" t="n">
        <v>9.68</v>
      </c>
      <c r="I9" s="4" t="inlineStr">
        <is>
          <t>FY25</t>
        </is>
      </c>
      <c r="J9" s="4" t="n">
        <v>0.0424</v>
      </c>
      <c r="K9" s="4" t="n">
        <v>0.0021</v>
      </c>
      <c r="L9" s="4" t="n">
        <v>0.0031</v>
      </c>
      <c r="M9" s="4" t="n">
        <v>2.9545</v>
      </c>
      <c r="N9" s="4" t="n">
        <v>0.5641</v>
      </c>
      <c r="O9" s="4" t="n">
        <v>0.1909</v>
      </c>
    </row>
    <row r="10">
      <c r="A10" s="4" t="inlineStr">
        <is>
          <t>Q1 FY26</t>
        </is>
      </c>
      <c r="B10" s="4" t="inlineStr">
        <is>
          <t>2025-04-01</t>
        </is>
      </c>
      <c r="C10" s="4" t="n">
        <v>17.16</v>
      </c>
      <c r="D10" s="4" t="n">
        <v>58.24</v>
      </c>
      <c r="E10" s="4" t="n">
        <v>15.74</v>
      </c>
      <c r="F10" s="4" t="n">
        <v>15.28</v>
      </c>
      <c r="G10" s="4" t="n">
        <v>14.19</v>
      </c>
      <c r="H10" s="4" t="n">
        <v>13.81</v>
      </c>
      <c r="I10" s="4" t="inlineStr">
        <is>
          <t>FY26</t>
        </is>
      </c>
      <c r="J10" s="4" t="n">
        <v>0.1398</v>
      </c>
      <c r="K10" s="4" t="n">
        <v>0.1064</v>
      </c>
      <c r="L10" s="4" t="n">
        <v>0.0275</v>
      </c>
      <c r="M10" s="4" t="n">
        <v>3.3939</v>
      </c>
      <c r="N10" s="4" t="n">
        <v>0.8048</v>
      </c>
      <c r="O10" s="4" t="n">
        <v>0.2371</v>
      </c>
    </row>
    <row r="11">
      <c r="A11" s="4" t="inlineStr">
        <is>
          <t>Q2 FY26</t>
        </is>
      </c>
      <c r="B11" s="4" t="inlineStr">
        <is>
          <t>2025-07-01</t>
        </is>
      </c>
      <c r="C11" s="4" t="n">
        <v>17.29</v>
      </c>
      <c r="D11" s="4" t="n">
        <v>56.44</v>
      </c>
      <c r="E11" s="4" t="n">
        <v>15.87</v>
      </c>
      <c r="F11" s="4" t="n">
        <v>15.13</v>
      </c>
      <c r="G11" s="4" t="n">
        <v>13.64</v>
      </c>
      <c r="H11" s="4" t="n">
        <v>12.48</v>
      </c>
      <c r="I11" s="4" t="inlineStr">
        <is>
          <t>FY26</t>
        </is>
      </c>
      <c r="J11" s="4" t="n">
        <v>0.2716</v>
      </c>
      <c r="K11" s="4" t="n">
        <v>0.2123</v>
      </c>
      <c r="L11" s="4" t="n">
        <v>0.0929</v>
      </c>
      <c r="M11" s="4" t="n">
        <v>3.2643</v>
      </c>
      <c r="N11" s="4" t="n">
        <v>0.7218</v>
      </c>
      <c r="O11" s="4" t="n">
        <v>0.2211</v>
      </c>
    </row>
    <row r="12">
      <c r="A12" s="4" t="inlineStr">
        <is>
          <t>Q3 FY26</t>
        </is>
      </c>
      <c r="B12" s="4" t="inlineStr">
        <is>
          <t>2025-10-01</t>
        </is>
      </c>
      <c r="C12" s="4" t="n">
        <v>17.3</v>
      </c>
      <c r="D12" s="4" t="n">
        <v>55.62</v>
      </c>
      <c r="E12" s="4" t="n">
        <v>10.72</v>
      </c>
      <c r="F12" s="4" t="n">
        <v>9.92</v>
      </c>
      <c r="G12" s="4" t="n">
        <v>9.18</v>
      </c>
      <c r="H12" s="4" t="n">
        <v>8.539999999999999</v>
      </c>
      <c r="I12" s="4" t="inlineStr">
        <is>
          <t>FY26</t>
        </is>
      </c>
      <c r="J12" s="4" t="n">
        <v>0.2553</v>
      </c>
      <c r="K12" s="4" t="n">
        <v>0.1616</v>
      </c>
      <c r="L12" s="4" t="n">
        <v>0.07489999999999999</v>
      </c>
      <c r="M12" s="4" t="n">
        <v>3.215</v>
      </c>
      <c r="N12" s="4" t="n">
        <v>0.4936</v>
      </c>
      <c r="O12" s="4" t="n">
        <v>0.1535</v>
      </c>
    </row>
    <row r="13">
      <c r="A13" s="4" t="inlineStr">
        <is>
          <t>Q4 FY26</t>
        </is>
      </c>
      <c r="B13" s="4" t="inlineStr">
        <is>
          <t>2026-01-01</t>
        </is>
      </c>
      <c r="C13" s="4" t="n">
        <v>17.32</v>
      </c>
      <c r="D13" s="4" t="n">
        <v>59.08</v>
      </c>
      <c r="E13" s="4" t="n">
        <v>11.93</v>
      </c>
      <c r="F13" s="4" t="n">
        <v>10.51</v>
      </c>
      <c r="G13" s="4" t="n">
        <v>9.93</v>
      </c>
      <c r="H13" s="4" t="n">
        <v>9.23</v>
      </c>
      <c r="I13" s="4" t="inlineStr">
        <is>
          <t>FY26</t>
        </is>
      </c>
      <c r="J13" s="4" t="n">
        <v>0.2925</v>
      </c>
      <c r="K13" s="4" t="n">
        <v>0.1387</v>
      </c>
      <c r="L13" s="4" t="n">
        <v>0.07580000000000001</v>
      </c>
      <c r="M13" s="4" t="n">
        <v>3.4111</v>
      </c>
      <c r="N13" s="4" t="n">
        <v>0.5329</v>
      </c>
      <c r="O13" s="4" t="n">
        <v>0.1562</v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inlineStr">
        <is>
          <t>forecast_category</t>
        </is>
      </c>
      <c r="B16" s="4" t="inlineStr">
        <is>
          <t>deals</t>
        </is>
      </c>
      <c r="C16" s="4" t="inlineStr">
        <is>
          <t>val_cr</t>
        </is>
      </c>
      <c r="D16" s="4" t="inlineStr">
        <is>
          <t>won_in_q_val</t>
        </is>
      </c>
      <c r="E16" s="4" t="inlineStr">
        <is>
          <t>won_ever_val</t>
        </is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inlineStr">
        <is>
          <t>Best Case</t>
        </is>
      </c>
      <c r="B17" s="4" t="n">
        <v>277</v>
      </c>
      <c r="C17" s="4" t="n">
        <v>112.5214</v>
      </c>
      <c r="D17" s="4" t="n">
        <v>0.09760000000000001</v>
      </c>
      <c r="E17" s="4" t="n">
        <v>0.2352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inlineStr">
        <is>
          <t>Commit</t>
        </is>
      </c>
      <c r="B18" s="4" t="n">
        <v>316</v>
      </c>
      <c r="C18" s="4" t="n">
        <v>153.878</v>
      </c>
      <c r="D18" s="4" t="n">
        <v>0.3857</v>
      </c>
      <c r="E18" s="4" t="n">
        <v>0.5165999999999999</v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inlineStr">
        <is>
          <t>Pipeline</t>
        </is>
      </c>
      <c r="B19" s="4" t="n">
        <v>1191</v>
      </c>
      <c r="C19" s="4" t="n">
        <v>505.5248</v>
      </c>
      <c r="D19" s="4" t="n">
        <v>0.0127</v>
      </c>
      <c r="E19" s="4" t="n">
        <v>0.1265</v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28" customWidth="1" min="3" max="3"/>
  </cols>
  <sheetData>
    <row r="1">
      <c r="A1" s="2" t="inlineStr">
        <is>
          <t>Driver</t>
        </is>
      </c>
      <c r="B1" s="2" t="inlineStr">
        <is>
          <t>ARR at stake, ₹ cr per year</t>
        </is>
      </c>
      <c r="C1" s="2" t="inlineStr">
        <is>
          <t>Fixability</t>
        </is>
      </c>
    </row>
    <row r="2">
      <c r="A2" s="1" t="inlineStr">
        <is>
          <t>Helix bundle — installed base (NRR 116%→92% on ₹108.6 cr)</t>
        </is>
      </c>
      <c r="B2" s="1" t="n">
        <v>25.6</v>
      </c>
      <c r="C2" s="1" t="inlineStr">
        <is>
          <t>Not fixable by sales alone</t>
        </is>
      </c>
    </row>
    <row r="3">
      <c r="A3" s="1" t="inlineStr">
        <is>
          <t>Helix bundle — new logo (win rate in Helix-incumbent accounts 20%→7%)</t>
        </is>
      </c>
      <c r="B3" s="1" t="n">
        <v>8.4</v>
      </c>
      <c r="C3" s="1" t="inlineStr">
        <is>
          <t>Not fixable by sales alone</t>
        </is>
      </c>
    </row>
    <row r="4">
      <c r="A4" s="1" t="inlineStr">
        <is>
          <t>Installed-base expansion stall, non-Helix (NRR 109%→103% on ₹163.4 cr)</t>
        </is>
      </c>
      <c r="B4" s="1" t="n">
        <v>9.92</v>
      </c>
      <c r="C4" s="1" t="inlineStr">
        <is>
          <t>Needs CS + sales</t>
        </is>
      </c>
    </row>
    <row r="5">
      <c r="A5" s="1" t="inlineStr">
        <is>
          <t>Targeting drift (fit mix)</t>
        </is>
      </c>
      <c r="B5" s="1" t="n">
        <v>6.56</v>
      </c>
      <c r="C5" s="1" t="inlineStr">
        <is>
          <t>Fixable by sales action</t>
        </is>
      </c>
    </row>
    <row r="6">
      <c r="A6" s="1" t="inlineStr">
        <is>
          <t>Single-threading (threading mix)</t>
        </is>
      </c>
      <c r="B6" s="1" t="n">
        <v>1.45</v>
      </c>
      <c r="C6" s="1" t="inlineStr">
        <is>
          <t>Fixable by sales action</t>
        </is>
      </c>
    </row>
    <row r="7">
      <c r="A7" s="1" t="inlineStr">
        <is>
          <t>Bigger buying committees (committee mix)</t>
        </is>
      </c>
      <c r="B7" s="1" t="n">
        <v>2.69</v>
      </c>
      <c r="C7" s="1" t="inlineStr">
        <is>
          <t>Market shift</t>
        </is>
      </c>
    </row>
    <row r="8">
      <c r="A8" s="1" t="inlineStr">
        <is>
          <t>Discount creep 13.0%→19.1% on FY26 bookings</t>
        </is>
      </c>
      <c r="B8" s="1" t="n">
        <v>3.1</v>
      </c>
      <c r="C8" s="1" t="inlineStr">
        <is>
          <t>Fixable by sales action</t>
        </is>
      </c>
    </row>
    <row r="9">
      <c r="A9" s="1" t="inlineStr">
        <is>
          <t>Memo: total win-rate erosion FY24→FY26 (432 deals × 7.0 pts × ₹0.56 cr)</t>
        </is>
      </c>
      <c r="B9" s="1" t="n">
        <v>16.99</v>
      </c>
      <c r="C9" s="1" t="inlineStr">
        <is>
          <t>Overlaps rows 2, 4, 5, 6</t>
        </is>
      </c>
    </row>
    <row r="10">
      <c r="A10" s="1" t="inlineStr">
        <is>
          <t>Memo: total NRR fall FY25→FY26 (13.1 pts × ₹272 cr)</t>
        </is>
      </c>
      <c r="B10" s="1" t="n">
        <v>35.69</v>
      </c>
      <c r="C10" s="1">
        <f> rows 1 + 3 (approx.)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70" customWidth="1" min="3" max="3"/>
    <col width="70" customWidth="1" min="4" max="4"/>
  </cols>
  <sheetData>
    <row r="1">
      <c r="A1" s="2" t="inlineStr">
        <is>
          <t>Hypothesis</t>
        </is>
      </c>
      <c r="B1" s="2" t="inlineStr">
        <is>
          <t>Verdict</t>
        </is>
      </c>
      <c r="C1" s="2" t="inlineStr">
        <is>
          <t>Evidence</t>
        </is>
      </c>
      <c r="D1" s="2" t="inlineStr">
        <is>
          <t>What it changes</t>
        </is>
      </c>
    </row>
    <row r="2">
      <c r="A2" s="1" t="inlineStr">
        <is>
          <t>H1 Targeting</t>
        </is>
      </c>
      <c r="B2" s="1" t="inlineStr">
        <is>
          <t>Accepted</t>
        </is>
      </c>
      <c r="C2" s="1" t="inlineStr">
        <is>
          <t>Fit score (firmographics only) predicts wins out of time: AUC 0.65 on FY26. High-fit win rate 26% vs low-fit 10% (FY26). Low-fit share of qualified deals rose 32%→45%. Low-fit accounts are 50% of the 3,100 targets but take 61% of AE touches. Fit mix explains −2.7 of the −7.0 pt win-rate fall.</t>
        </is>
      </c>
      <c r="D2" s="1" t="inlineStr">
        <is>
          <t>Tier the 3,100 accounts; stop-list for low-fit; capacity goes to high-fit (D2).</t>
        </is>
      </c>
    </row>
    <row r="3">
      <c r="A3" s="1" t="inlineStr">
        <is>
          <t>H2 Value selling</t>
        </is>
      </c>
      <c r="B3" s="1" t="inlineStr">
        <is>
          <t>Accepted, smaller than assumed</t>
        </is>
      </c>
      <c r="C3" s="1" t="inlineStr">
        <is>
          <t>FY26 proposals with a quantified business case win 41% vs 32% without (odds ratio 1.5 after controls, p = 0.06). They carry 4.5 pts less discount and close 0.6 months faster. Business-case use fell 63%→48% of proposals. Discount shows no positive link to winning (odds ratio 0.98 per pt, p = 0.41).</t>
        </is>
      </c>
      <c r="D3" s="1" t="inlineStr">
        <is>
          <t>Business case mandatory at proposal; discount only in exchange for scope/term (D3, D5).</t>
        </is>
      </c>
    </row>
    <row r="4">
      <c r="A4" s="1" t="inlineStr">
        <is>
          <t>H3 Forecast discipline</t>
        </is>
      </c>
      <c r="B4" s="1" t="inlineStr">
        <is>
          <t>Modified</t>
        </is>
      </c>
      <c r="C4" s="1" t="inlineStr">
        <is>
          <t>Only 17% of open value is stale, so the pipeline is not mainly dead deals. The failure is categorisation and the planning rule: Commit converted 27% in-quarter in FY26 vs 48% in FY24; reported coverage 3.3x vs 5.2x needed; month-1 commit over-called in every FY26 quarter (average miss 24%).</t>
        </is>
      </c>
      <c r="D4" s="1" t="inlineStr">
        <is>
          <t>Stage-exit criteria, Commit definition, plan to 5x+ coverage (D4).</t>
        </is>
      </c>
    </row>
    <row r="5">
      <c r="A5" s="1" t="inlineStr">
        <is>
          <t>H4 Competition</t>
        </is>
      </c>
      <c r="B5" s="1" t="inlineStr">
        <is>
          <t>Modified: split by rival</t>
        </is>
      </c>
      <c r="C5" s="1" t="inlineStr">
        <is>
          <t>Helix is structural where Helix is incumbent: win rate in those accounts fell 20%→7%; strong selling (business case + multi-threaded) won 0 of 11 such proposals against Helix; Helix-incumbent customers' NRR fell 116%→92%. TrueSense is preventable: strong selling lifts proposal win rate 13%→31%; 44% of TrueSense losses cite reuse of existing sensors. BMI losses cluster in &lt; ₹500 cr accounts (a targeting issue).</t>
        </is>
      </c>
      <c r="D5" s="1" t="inlineStr">
        <is>
          <t>Helix needs a pricing/packaging decision, not better scripts; TrueSense needs battlecards + sensor-agnostic question to CPO (D5).</t>
        </is>
      </c>
    </row>
    <row r="6">
      <c r="A6" s="1" t="inlineStr">
        <is>
          <t>H5 Channel</t>
        </is>
      </c>
      <c r="B6" s="1" t="inlineStr">
        <is>
          <t>Rejected for India; accepted for SEA</t>
        </is>
      </c>
      <c r="C6" s="1" t="inlineStr">
        <is>
          <t>SEA partner-sourced deals win 34% vs 10% direct. India partner-sourced deals win 12% vs 22% direct (7% where Helix is incumbent); Middle East shows no advantage (17% vs 22%). Partner-sourced share of bookings fell 12%→6% (after re-tagging 36 deals). Three partners (P11, P09, P05) source 44 of 62 FY26 partner-sourced deals.</t>
        </is>
      </c>
      <c r="D6" s="1" t="inlineStr">
        <is>
          <t>Channel plan starts SEA-first; an India-wide 25% partner target is not supported (D6).</t>
        </is>
      </c>
    </row>
    <row r="7">
      <c r="A7" s="1" t="inlineStr">
        <is>
          <t>H0 Market shift (null)</t>
        </is>
      </c>
      <c r="B7" s="1" t="inlineStr">
        <is>
          <t>Modified</t>
        </is>
      </c>
      <c r="C7" s="1" t="inlineStr">
        <is>
          <t>Real but partial: bigger buying committees explain 0.8 of the 1.8-month cycle rise; the within-segment win rate fell 3.6 pts after controls. But the largest driver (Helix bundling) is addressable through pricing and retention, and ~₹21 cr/yr (targeting, discounting, non-Helix expansion) sits within management control.</t>
        </is>
      </c>
      <c r="D7" s="1" t="inlineStr">
        <is>
          <t>Do not narrow the FY29 target yet; decide after capacity math (D2, D7).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5" customWidth="1" min="2" max="2"/>
    <col width="48" customWidth="1" min="3" max="3"/>
    <col width="48" customWidth="1" min="4" max="4"/>
  </cols>
  <sheetData>
    <row r="1">
      <c r="A1" s="2" t="inlineStr">
        <is>
          <t>Metric</t>
        </is>
      </c>
      <c r="B1" s="2" t="inlineStr">
        <is>
          <t>Brief</t>
        </is>
      </c>
      <c r="C1" s="2" t="inlineStr">
        <is>
          <t>Data room</t>
        </is>
      </c>
      <c r="D1" s="2" t="inlineStr">
        <is>
          <t>Treatment</t>
        </is>
      </c>
    </row>
    <row r="2">
      <c r="A2" s="1" t="inlineStr">
        <is>
          <t>FY26 win rate on qualified deals</t>
        </is>
      </c>
      <c r="B2" s="1" t="inlineStr">
        <is>
          <t>17%</t>
        </is>
      </c>
      <c r="C2" s="1" t="inlineStr">
        <is>
          <t>16.9% (clean)</t>
        </is>
      </c>
      <c r="D2" s="1" t="inlineStr">
        <is>
          <t>Consistent</t>
        </is>
      </c>
    </row>
    <row r="3">
      <c r="A3" s="1" t="inlineStr">
        <is>
          <t>FY26 new logos</t>
        </is>
      </c>
      <c r="B3" s="1" t="inlineStr">
        <is>
          <t>~75</t>
        </is>
      </c>
      <c r="C3" s="1" t="inlineStr">
        <is>
          <t>73 clean (77 raw incl. 4 duplicates)</t>
        </is>
      </c>
      <c r="D3" s="1" t="inlineStr">
        <is>
          <t>Use 73</t>
        </is>
      </c>
    </row>
    <row r="4">
      <c r="A4" s="1" t="inlineStr">
        <is>
          <t>Reported pipeline coverage</t>
        </is>
      </c>
      <c r="B4" s="1" t="inlineStr">
        <is>
          <t>3.1x</t>
        </is>
      </c>
      <c r="C4" s="1" t="inlineStr">
        <is>
          <t>3.3x average FY26</t>
        </is>
      </c>
      <c r="D4" s="1" t="inlineStr">
        <is>
          <t>Use data</t>
        </is>
      </c>
    </row>
    <row r="5">
      <c r="A5" s="1" t="inlineStr">
        <is>
          <t>Coverage needed</t>
        </is>
      </c>
      <c r="B5" s="1" t="inlineStr">
        <is>
          <t>5.9x (1 ÷ 17% win rate)</t>
        </is>
      </c>
      <c r="C5" s="1" t="inlineStr">
        <is>
          <t>5.2x (1 ÷ 19% in-quarter conversion of reported pipeline)</t>
        </is>
      </c>
      <c r="D5" s="1" t="inlineStr">
        <is>
          <t>Brief mixes win rate and in-quarter conversion; use 5.2x</t>
        </is>
      </c>
    </row>
    <row r="6">
      <c r="A6" s="1" t="inlineStr">
        <is>
          <t>Proposals without quantified business case</t>
        </is>
      </c>
      <c r="B6" s="1" t="inlineStr">
        <is>
          <t>64%</t>
        </is>
      </c>
      <c r="C6" s="1" t="inlineStr">
        <is>
          <t>52% (FY26)</t>
        </is>
      </c>
      <c r="D6" s="1" t="inlineStr">
        <is>
          <t>Use data; brief figure may be an audit sample</t>
        </is>
      </c>
    </row>
    <row r="7">
      <c r="A7" s="1" t="inlineStr">
        <is>
          <t>Open pipeline single-threaded</t>
        </is>
      </c>
      <c r="B7" s="1" t="inlineStr">
        <is>
          <t>71%</t>
        </is>
      </c>
      <c r="C7" s="1" t="inlineStr">
        <is>
          <t>73% of deals, 74% of value</t>
        </is>
      </c>
      <c r="D7" s="1" t="inlineStr">
        <is>
          <t>Consistent</t>
        </is>
      </c>
    </row>
    <row r="8">
      <c r="A8" s="1" t="inlineStr">
        <is>
          <t>Partner-sourced share of new-logo ARR</t>
        </is>
      </c>
      <c r="B8" s="1" t="inlineStr">
        <is>
          <t>9%</t>
        </is>
      </c>
      <c r="C8" s="1" t="inlineStr">
        <is>
          <t>5.8% recorded; 6.3% after re-tagging</t>
        </is>
      </c>
      <c r="D8" s="1" t="inlineStr">
        <is>
          <t>Use 6.3%</t>
        </is>
      </c>
    </row>
    <row r="9">
      <c r="A9" s="1" t="inlineStr">
        <is>
          <t>Partner-influenced share</t>
        </is>
      </c>
      <c r="B9" s="1" t="inlineStr">
        <is>
          <t>16%</t>
        </is>
      </c>
      <c r="C9" s="1" t="inlineStr">
        <is>
          <t>10.8% (any partner attached)</t>
        </is>
      </c>
      <c r="D9" s="1" t="inlineStr">
        <is>
          <t>Use data</t>
        </is>
      </c>
    </row>
    <row r="10">
      <c r="A10" s="1" t="inlineStr">
        <is>
          <t>FY26 loss mix Helix / TrueSense / BMI / no decision</t>
        </is>
      </c>
      <c r="B10" s="1" t="inlineStr">
        <is>
          <t>34 / 29 / 17 / 20%</t>
        </is>
      </c>
      <c r="C10" s="1" t="inlineStr">
        <is>
          <t>38 / 34 / 13 / 15% of attributable losses; 37% unattributable</t>
        </is>
      </c>
      <c r="D10" s="1" t="inlineStr">
        <is>
          <t>Use data with caveat</t>
        </is>
      </c>
    </row>
    <row r="11">
      <c r="A11" s="1" t="inlineStr">
        <is>
          <t>Accounts contacted by &gt;1 person</t>
        </is>
      </c>
      <c r="B11" s="1" t="inlineStr">
        <is>
          <t>23%</t>
        </is>
      </c>
      <c r="C11" s="1" t="inlineStr">
        <is>
          <t>23.7%</t>
        </is>
      </c>
      <c r="D11" s="1" t="inlineStr">
        <is>
          <t>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2026-09-23T02:19:53Z</dcterms:created>
  <dcterms:modified xmlns:dcterms="http://purl.org/dc/terms/" xmlns:xsi="http://www.w3.org/2001/XMLSchema-instance" xsi:type="dcterms:W3CDTF">2026-09-23T02:20:19Z</dcterms:modified>
</cp:coreProperties>
</file>
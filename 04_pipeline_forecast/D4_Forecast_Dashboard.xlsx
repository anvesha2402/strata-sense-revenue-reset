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erf_data" sheetId="2" state="visible" r:id="rId4"/>
    <sheet name="Lists" sheetId="3" state="hidden" r:id="rId5"/>
    <sheet name="Coverage" sheetId="4" state="visible" r:id="rId6"/>
    <sheet name="Dashboard" sheetId="5" state="visible" r:id="rId7"/>
    <sheet name="Backtest" sheetId="6" state="visible" r:id="rId8"/>
    <sheet name="Holdout" sheetId="7" state="visible" r:id="rId9"/>
    <sheet name="Hygiene" sheetId="8" state="visible" r:id="rId10"/>
    <sheet name="Scenarios" sheetId="9" state="visible" r:id="rId11"/>
    <sheet name="Governanc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<sst xmlns="http://schemas.openxmlformats.org/spreadsheetml/2006/main" count="826" uniqueCount="442">
  <si>
    <t xml:space="preserve">D4 PIPELINE &amp; FORECAST DASHBOARD</t>
  </si>
  <si>
    <t xml:space="preserve">Company</t>
  </si>
  <si>
    <t xml:space="preserve">Strata Sense is fictional; all data synthetic (MBA capstone).</t>
  </si>
  <si>
    <t xml:space="preserve">How to use</t>
  </si>
  <si>
    <t xml:space="preserve">Dashboard: pick a dimension and fiscal year in the yellow cells; the performance table and chart update. Blue = input; black = formula.</t>
  </si>
  <si>
    <t xml:space="preserve">Sheets</t>
  </si>
  <si>
    <t xml:space="preserve">Dashboard · Coverage · Backtest · Holdout · Perf_data · Hygiene · Scenarios · Governance</t>
  </si>
  <si>
    <t xml:space="preserve">Sources</t>
  </si>
  <si>
    <t xml:space="preserve">DR1 CRM (cleaned in D1), pipeline snapshots (12 quarter starts + the 1 Apr 2026 hold-out), DR1 forecast history, DR3 bookings. Code: d4_prep.py, d4_methods.py, d4_final.py, d4_views.py.</t>
  </si>
  <si>
    <t xml:space="preserve">Hold-out</t>
  </si>
  <si>
    <t xml:space="preserve">Q1 FY27 forecast locked before any outcome was seen: p10 ₹6.11 cr, p50 ₹8.71 cr, p90 ₹10.74 cr (SHA-256 ba5b63adaffbe366…).</t>
  </si>
  <si>
    <t xml:space="preserve">Performance data (qualified closed deals, FY24–FY26)</t>
  </si>
  <si>
    <t xml:space="preserve">Long table feeding the Dashboard selector</t>
  </si>
  <si>
    <t xml:space="preserve">dimension</t>
  </si>
  <si>
    <t xml:space="preserve">value</t>
  </si>
  <si>
    <t xml:space="preserve">fy</t>
  </si>
  <si>
    <t xml:space="preserve">qualified_deals</t>
  </si>
  <si>
    <t xml:space="preserve">win_rate</t>
  </si>
  <si>
    <t xml:space="preserve">avg_won_deal_lakh</t>
  </si>
  <si>
    <t xml:space="preserve">avg_cycle_days</t>
  </si>
  <si>
    <t xml:space="preserve">velocity_lakh_per_day</t>
  </si>
  <si>
    <t xml:space="preserve">key</t>
  </si>
  <si>
    <t xml:space="preserve">Segment</t>
  </si>
  <si>
    <t xml:space="preserve">Discrete manufacturing</t>
  </si>
  <si>
    <t xml:space="preserve">FY24</t>
  </si>
  <si>
    <t xml:space="preserve">Segment|Discrete manufacturing|FY24</t>
  </si>
  <si>
    <t xml:space="preserve">FY25</t>
  </si>
  <si>
    <t xml:space="preserve">Segment|Discrete manufacturing|FY25</t>
  </si>
  <si>
    <t xml:space="preserve">FY26</t>
  </si>
  <si>
    <t xml:space="preserve">Segment|Discrete manufacturing|FY26</t>
  </si>
  <si>
    <t xml:space="preserve">Energy &amp; utilities</t>
  </si>
  <si>
    <t xml:space="preserve">Segment|Energy &amp; utilities|FY24</t>
  </si>
  <si>
    <t xml:space="preserve">Segment|Energy &amp; utilities|FY25</t>
  </si>
  <si>
    <t xml:space="preserve">Segment|Energy &amp; utilities|FY26</t>
  </si>
  <si>
    <t xml:space="preserve">Other</t>
  </si>
  <si>
    <t xml:space="preserve">Segment|Other|FY24</t>
  </si>
  <si>
    <t xml:space="preserve">Segment|Other|FY25</t>
  </si>
  <si>
    <t xml:space="preserve">Segment|Other|FY26</t>
  </si>
  <si>
    <t xml:space="preserve">Process industries</t>
  </si>
  <si>
    <t xml:space="preserve">Segment|Process industries|FY24</t>
  </si>
  <si>
    <t xml:space="preserve">Segment|Process industries|FY25</t>
  </si>
  <si>
    <t xml:space="preserve">Segment|Process industries|FY26</t>
  </si>
  <si>
    <t xml:space="preserve">Lead source</t>
  </si>
  <si>
    <t xml:space="preserve">AE self-sourced</t>
  </si>
  <si>
    <t xml:space="preserve">Lead source|AE self-sourced|FY24</t>
  </si>
  <si>
    <t xml:space="preserve">Lead source|AE self-sourced|FY25</t>
  </si>
  <si>
    <t xml:space="preserve">Lead source|AE self-sourced|FY26</t>
  </si>
  <si>
    <t xml:space="preserve">Customer referral</t>
  </si>
  <si>
    <t xml:space="preserve">Lead source|Customer referral|FY24</t>
  </si>
  <si>
    <t xml:space="preserve">Lead source|Customer referral|FY25</t>
  </si>
  <si>
    <t xml:space="preserve">Lead source|Customer referral|FY26</t>
  </si>
  <si>
    <t xml:space="preserve">Event</t>
  </si>
  <si>
    <t xml:space="preserve">Lead source|Event|FY24</t>
  </si>
  <si>
    <t xml:space="preserve">Lead source|Event|FY25</t>
  </si>
  <si>
    <t xml:space="preserve">Lead source|Event|FY26</t>
  </si>
  <si>
    <t xml:space="preserve">Partner</t>
  </si>
  <si>
    <t xml:space="preserve">Lead source|Partner|FY24</t>
  </si>
  <si>
    <t xml:space="preserve">Lead source|Partner|FY25</t>
  </si>
  <si>
    <t xml:space="preserve">Lead source|Partner|FY26</t>
  </si>
  <si>
    <t xml:space="preserve">SDR / Marketing</t>
  </si>
  <si>
    <t xml:space="preserve">Lead source|SDR / Marketing|FY24</t>
  </si>
  <si>
    <t xml:space="preserve">Lead source|SDR / Marketing|FY25</t>
  </si>
  <si>
    <t xml:space="preserve">Lead source|SDR / Marketing|FY26</t>
  </si>
  <si>
    <t xml:space="preserve">Unknown</t>
  </si>
  <si>
    <t xml:space="preserve">Lead source|Unknown|FY24</t>
  </si>
  <si>
    <t xml:space="preserve">Lead source|Unknown|FY25</t>
  </si>
  <si>
    <t xml:space="preserve">Lead source|Unknown|FY26</t>
  </si>
  <si>
    <t xml:space="preserve">Competitor (recorded)</t>
  </si>
  <si>
    <t xml:space="preserve">Bharat Machine Intelligence</t>
  </si>
  <si>
    <t xml:space="preserve">Competitor (recorded)|Bharat Machine Intelligence|FY24</t>
  </si>
  <si>
    <t xml:space="preserve">Competitor (recorded)|Bharat Machine Intelligence|FY25</t>
  </si>
  <si>
    <t xml:space="preserve">Competitor (recorded)|Bharat Machine Intelligence|FY26</t>
  </si>
  <si>
    <t xml:space="preserve">Helix Automation</t>
  </si>
  <si>
    <t xml:space="preserve">Competitor (recorded)|Helix Automation|FY24</t>
  </si>
  <si>
    <t xml:space="preserve">Competitor (recorded)|Helix Automation|FY25</t>
  </si>
  <si>
    <t xml:space="preserve">Competitor (recorded)|Helix Automation|FY26</t>
  </si>
  <si>
    <t xml:space="preserve">None / unknown</t>
  </si>
  <si>
    <t xml:space="preserve">Competitor (recorded)|None / unknown|FY24</t>
  </si>
  <si>
    <t xml:space="preserve">Competitor (recorded)|None / unknown|FY25</t>
  </si>
  <si>
    <t xml:space="preserve">Competitor (recorded)|None / unknown|FY26</t>
  </si>
  <si>
    <t xml:space="preserve">TrueSense AI</t>
  </si>
  <si>
    <t xml:space="preserve">Competitor (recorded)|TrueSense AI|FY24</t>
  </si>
  <si>
    <t xml:space="preserve">Competitor (recorded)|TrueSense AI|FY25</t>
  </si>
  <si>
    <t xml:space="preserve">Competitor (recorded)|TrueSense AI|FY26</t>
  </si>
  <si>
    <t xml:space="preserve">Rep tenure</t>
  </si>
  <si>
    <t xml:space="preserve">9-24 months</t>
  </si>
  <si>
    <t xml:space="preserve">Rep tenure|9-24 months|FY24</t>
  </si>
  <si>
    <t xml:space="preserve">Rep tenure|9-24 months|FY25</t>
  </si>
  <si>
    <t xml:space="preserve">Rep tenure|9-24 months|FY26</t>
  </si>
  <si>
    <t xml:space="preserve">&lt;9 months</t>
  </si>
  <si>
    <t xml:space="preserve">Rep tenure|&lt;9 months|FY24</t>
  </si>
  <si>
    <t xml:space="preserve">Rep tenure|&lt;9 months|FY25</t>
  </si>
  <si>
    <t xml:space="preserve">Rep tenure|&lt;9 months|FY26</t>
  </si>
  <si>
    <t xml:space="preserve">&gt;24 months</t>
  </si>
  <si>
    <t xml:space="preserve">Rep tenure|&gt;24 months|FY24</t>
  </si>
  <si>
    <t xml:space="preserve">Rep tenure|&gt;24 months|FY25</t>
  </si>
  <si>
    <t xml:space="preserve">Rep tenure|&gt;24 months|FY26</t>
  </si>
  <si>
    <t xml:space="preserve">Reassigned deal</t>
  </si>
  <si>
    <t xml:space="preserve">Rep tenure|Reassigned deal|FY24</t>
  </si>
  <si>
    <t xml:space="preserve">Rep tenure|Reassigned deal|FY25</t>
  </si>
  <si>
    <t xml:space="preserve">Rep tenure|Reassigned deal|FY26</t>
  </si>
  <si>
    <t xml:space="preserve">Region</t>
  </si>
  <si>
    <t xml:space="preserve">India</t>
  </si>
  <si>
    <t xml:space="preserve">Region|India|FY24</t>
  </si>
  <si>
    <t xml:space="preserve">Region|India|FY25</t>
  </si>
  <si>
    <t xml:space="preserve">Region|India|FY26</t>
  </si>
  <si>
    <t xml:space="preserve">Middle East</t>
  </si>
  <si>
    <t xml:space="preserve">Region|Middle East|FY24</t>
  </si>
  <si>
    <t xml:space="preserve">Region|Middle East|FY25</t>
  </si>
  <si>
    <t xml:space="preserve">Region|Middle East|FY26</t>
  </si>
  <si>
    <t xml:space="preserve">SEA</t>
  </si>
  <si>
    <t xml:space="preserve">Region|SEA|FY24</t>
  </si>
  <si>
    <t xml:space="preserve">Region|SEA|FY25</t>
  </si>
  <si>
    <t xml:space="preserve">Region|SEA|FY26</t>
  </si>
  <si>
    <t xml:space="preserve">Account tier (D2)</t>
  </si>
  <si>
    <t xml:space="preserve">1 Strategic</t>
  </si>
  <si>
    <t xml:space="preserve">Account tier (D2)|1 Strategic|FY24</t>
  </si>
  <si>
    <t xml:space="preserve">Account tier (D2)|1 Strategic|FY25</t>
  </si>
  <si>
    <t xml:space="preserve">Account tier (D2)|1 Strategic|FY26</t>
  </si>
  <si>
    <t xml:space="preserve">2 Scaled</t>
  </si>
  <si>
    <t xml:space="preserve">Account tier (D2)|2 Scaled|FY24</t>
  </si>
  <si>
    <t xml:space="preserve">Account tier (D2)|2 Scaled|FY25</t>
  </si>
  <si>
    <t xml:space="preserve">Account tier (D2)|2 Scaled|FY26</t>
  </si>
  <si>
    <t xml:space="preserve">3 Low-touch</t>
  </si>
  <si>
    <t xml:space="preserve">Account tier (D2)|3 Low-touch|FY24</t>
  </si>
  <si>
    <t xml:space="preserve">Account tier (D2)|3 Low-touch|FY25</t>
  </si>
  <si>
    <t xml:space="preserve">Account tier (D2)|3 Low-touch|FY26</t>
  </si>
  <si>
    <t xml:space="preserve">Required vs reported coverage by quarter</t>
  </si>
  <si>
    <t xml:space="preserve">Required = 1 ÷ trailing-4-quarter in-quarter conversion of reported pipeline</t>
  </si>
  <si>
    <t xml:space="preserve">quarter</t>
  </si>
  <si>
    <t xml:space="preserve">quota_cr</t>
  </si>
  <si>
    <t xml:space="preserve">reported_pipeline_in_quarter_cr</t>
  </si>
  <si>
    <t xml:space="preserve">commit_call_m1_cr</t>
  </si>
  <si>
    <t xml:space="preserve">coverage_reported</t>
  </si>
  <si>
    <t xml:space="preserve">inq_conversion</t>
  </si>
  <si>
    <t xml:space="preserve">actual_clean_cr</t>
  </si>
  <si>
    <t xml:space="preserve">coverage_required</t>
  </si>
  <si>
    <t xml:space="preserve">attainment</t>
  </si>
  <si>
    <t xml:space="preserve">Q1 FY24</t>
  </si>
  <si>
    <t xml:space="preserve">Q2 FY24</t>
  </si>
  <si>
    <t xml:space="preserve">Q3 FY24</t>
  </si>
  <si>
    <t xml:space="preserve">Q4 FY24</t>
  </si>
  <si>
    <t xml:space="preserve">Q1 FY25</t>
  </si>
  <si>
    <t xml:space="preserve">Q2 FY25</t>
  </si>
  <si>
    <t xml:space="preserve">Q3 FY25</t>
  </si>
  <si>
    <t xml:space="preserve">Q4 FY25</t>
  </si>
  <si>
    <t xml:space="preserve">Q1 FY26</t>
  </si>
  <si>
    <t xml:space="preserve">Q2 FY26</t>
  </si>
  <si>
    <t xml:space="preserve">Q3 FY26</t>
  </si>
  <si>
    <t xml:space="preserve">Q4 FY26</t>
  </si>
  <si>
    <t xml:space="preserve">Q1 FY27</t>
  </si>
  <si>
    <t xml:space="preserve">Pipeline &amp; forecast dashboard</t>
  </si>
  <si>
    <t xml:space="preserve">Strata Sense (fictional) · as of 1 Apr 2026 · ₹ crore unless marked</t>
  </si>
  <si>
    <t xml:space="preserve">FY26 bookings (clean)</t>
  </si>
  <si>
    <t xml:space="preserve">FY26 win rate</t>
  </si>
  <si>
    <t xml:space="preserve">Reported coverage Q1 FY27</t>
  </si>
  <si>
    <t xml:space="preserve">Required coverage Q1 FY27</t>
  </si>
  <si>
    <t xml:space="preserve">FY26 commit miss (MAPE)</t>
  </si>
  <si>
    <t xml:space="preserve">Hold-out p50 (locked)</t>
  </si>
  <si>
    <t xml:space="preserve">PERFORMANCE VIEW</t>
  </si>
  <si>
    <t xml:space="preserve">Dimension</t>
  </si>
  <si>
    <t xml:space="preserve">Fiscal year</t>
  </si>
  <si>
    <t xml:space="preserve">Value</t>
  </si>
  <si>
    <t xml:space="preserve">Qualified deals</t>
  </si>
  <si>
    <t xml:space="preserve">Win rate</t>
  </si>
  <si>
    <t xml:space="preserve">Avg won deal (lakh)</t>
  </si>
  <si>
    <t xml:space="preserve">Avg cycle (days)</t>
  </si>
  <si>
    <t xml:space="preserve">Velocity (lakh/day)</t>
  </si>
  <si>
    <t xml:space="preserve">Back-test: 8 quarters, no look-ahead</t>
  </si>
  <si>
    <t xml:space="preserve">Each quarter forecast only from snapshots and outcomes known before it began. Rolling 4-quarter training window.</t>
  </si>
  <si>
    <t xml:space="preserve">actual</t>
  </si>
  <si>
    <t xml:space="preserve">commit</t>
  </si>
  <si>
    <t xml:space="preserve">stage_weighted</t>
  </si>
  <si>
    <t xml:space="preserve">cohort_age</t>
  </si>
  <si>
    <t xml:space="preserve">simulation</t>
  </si>
  <si>
    <t xml:space="preserve">ensemble</t>
  </si>
  <si>
    <t xml:space="preserve">final</t>
  </si>
  <si>
    <t xml:space="preserve">final_p10</t>
  </si>
  <si>
    <t xml:space="preserve">final_p90</t>
  </si>
  <si>
    <t xml:space="preserve">Method</t>
  </si>
  <si>
    <t xml:space="preserve">Quarters</t>
  </si>
  <si>
    <t xml:space="preserve">MAPE</t>
  </si>
  <si>
    <t xml:space="preserve">Bias (mean error)</t>
  </si>
  <si>
    <t xml:space="preserve">MAPE last 4</t>
  </si>
  <si>
    <t xml:space="preserve">Max miss</t>
  </si>
  <si>
    <t xml:space="preserve">Rep commit (baseline)</t>
  </si>
  <si>
    <t xml:space="preserve">Stage-weighted</t>
  </si>
  <si>
    <t xml:space="preserve">Cohort-age conversion</t>
  </si>
  <si>
    <t xml:space="preserve">Logistic simulation</t>
  </si>
  <si>
    <t xml:space="preserve">Ensemble of 3</t>
  </si>
  <si>
    <t xml:space="preserve">Final: stage-weighted, calibrated</t>
  </si>
  <si>
    <t xml:space="preserve">p10–p90 coverage of final band</t>
  </si>
  <si>
    <t xml:space="preserve">FY26 rep commit MAPE</t>
  </si>
  <si>
    <t xml:space="preserve">Note: the calibration step (multiply by the median actual÷forecast ratio of the previous 4 quarters) was chosen on this back-test, so its 15.6% error is slightly optimistic. The hold-out quarter is the honest test.</t>
  </si>
  <si>
    <t xml:space="preserve">Q1 FY27 hold-out forecast (LOCKED)</t>
  </si>
  <si>
    <t xml:space="preserve">Locked 2026-09-23T11:08:13.128380Z · SHA-256 ba5b63adaffbe366041170dd6ba1df17983e5cd0fdb9bedfeac0f622fd54b6b9</t>
  </si>
  <si>
    <t xml:space="preserve">Stage-weighted conversion (stage x close-date bucket), rolling 4 quarters, walk-forward bias calibration</t>
  </si>
  <si>
    <t xml:space="preserve">p10 (₹ cr)</t>
  </si>
  <si>
    <t xml:space="preserve">p50 (₹ cr)</t>
  </si>
  <si>
    <t xml:space="preserve">p90 (₹ cr)</t>
  </si>
  <si>
    <t xml:space="preserve">Raw stage-weighted (₹ cr)</t>
  </si>
  <si>
    <t xml:space="preserve">Calibration factor (median actual ÷ forecast, last 4 quarters)</t>
  </si>
  <si>
    <t xml:space="preserve">Cross-checks</t>
  </si>
  <si>
    <t xml:space="preserve">Cohort-age method</t>
  </si>
  <si>
    <t xml:space="preserve">Logistic simulation (expected)</t>
  </si>
  <si>
    <t xml:space="preserve">Simulation p10</t>
  </si>
  <si>
    <t xml:space="preserve">Simulation p90</t>
  </si>
  <si>
    <t xml:space="preserve">Rep commit, month 1</t>
  </si>
  <si>
    <t xml:space="preserve">Quarterly quota</t>
  </si>
  <si>
    <t xml:space="preserve">Why the forecast is below the rep commit</t>
  </si>
  <si>
    <t xml:space="preserve">Conversion of open pipeline has fallen every year; uncalibrated methods over-forecast by 16–35% in the back-test. The calibration factor corrects that bias using only past quarters. 57% of snapshot value carries at least one hygiene flag (Hygiene sheet).</t>
  </si>
  <si>
    <t xml:space="preserve">Snapshot 1 Apr 2026: value by stage and forecast category (₹ cr)</t>
  </si>
  <si>
    <t xml:space="preserve">stage</t>
  </si>
  <si>
    <t xml:space="preserve">Best Case</t>
  </si>
  <si>
    <t xml:space="preserve">Commit</t>
  </si>
  <si>
    <t xml:space="preserve">Pipeline</t>
  </si>
  <si>
    <t xml:space="preserve">Pipeline - future quarter</t>
  </si>
  <si>
    <t xml:space="preserve">1-Qualify</t>
  </si>
  <si>
    <t xml:space="preserve">2-Solution Design</t>
  </si>
  <si>
    <t xml:space="preserve">3-Proof of Value</t>
  </si>
  <si>
    <t xml:space="preserve">4-Proposal</t>
  </si>
  <si>
    <t xml:space="preserve">5-Negotiation &amp; Procurement</t>
  </si>
  <si>
    <t xml:space="preserve">Pipeline hygiene rules</t>
  </si>
  <si>
    <t xml:space="preserve">Stage exit criteria, ageing limits, slippage and single-thread flags; applied to the 1 Apr 2026 snapshot</t>
  </si>
  <si>
    <t xml:space="preserve">Stage</t>
  </si>
  <si>
    <t xml:space="preserve">Ageing limit (days)</t>
  </si>
  <si>
    <t xml:space="preserve">Exit criteria (to move to next stage)</t>
  </si>
  <si>
    <t xml:space="preserve">Median days (won FY25–26)</t>
  </si>
  <si>
    <t xml:space="preserve">75th pct days</t>
  </si>
  <si>
    <t xml:space="preserve">Pain and asset scope confirmed; economic buyer named; budget route known</t>
  </si>
  <si>
    <t xml:space="preserve">≥3 contacts incl. finance or procurement; security requirements captured; success criteria drafted</t>
  </si>
  <si>
    <t xml:space="preserve">Paid pilot signed with written success criteria and conversion price</t>
  </si>
  <si>
    <t xml:space="preserve">Quantified business case using buyer numbers; finance contact engaged; mutual action plan agreed</t>
  </si>
  <si>
    <t xml:space="preserve">Paper process mapped; legal/security cleared; signature date confirmed by economic buyer</t>
  </si>
  <si>
    <t xml:space="preserve">Flag</t>
  </si>
  <si>
    <t xml:space="preserve">Rule</t>
  </si>
  <si>
    <t xml:space="preserve">Deals flagged</t>
  </si>
  <si>
    <t xml:space="preserve">Value (₹ cr)</t>
  </si>
  <si>
    <t xml:space="preserve">stale_date</t>
  </si>
  <si>
    <t xml:space="preserve">Expected close date already past</t>
  </si>
  <si>
    <t xml:space="preserve">slipped2</t>
  </si>
  <si>
    <t xml:space="preserve">Close date pushed 2+ times</t>
  </si>
  <si>
    <t xml:space="preserve">aged</t>
  </si>
  <si>
    <t xml:space="preserve">Longer in stage than the ageing limit</t>
  </si>
  <si>
    <t xml:space="preserve">single_thread</t>
  </si>
  <si>
    <t xml:space="preserve">Stage 3+ with only one buyer contact</t>
  </si>
  <si>
    <t xml:space="preserve">no_activity_90d</t>
  </si>
  <si>
    <t xml:space="preserve">No activity for 90 days</t>
  </si>
  <si>
    <t xml:space="preserve">commit_not_stage5</t>
  </si>
  <si>
    <t xml:space="preserve">In Commit but not at stage 5</t>
  </si>
  <si>
    <t xml:space="preserve">any_flag</t>
  </si>
  <si>
    <t xml:space="preserve">Any flag</t>
  </si>
  <si>
    <t xml:space="preserve">Snapshot value (₹ cr)</t>
  </si>
  <si>
    <t xml:space="preserve">Share of value with any flag</t>
  </si>
  <si>
    <t xml:space="preserve">In-quarter pipeline, all / clean (no flags) (₹ cr)</t>
  </si>
  <si>
    <t xml:space="preserve">Clean in-quarter coverage (× quota ₹17.15 cr)</t>
  </si>
  <si>
    <t xml:space="preserve">Top 60 flagged deals by value (for Monday inspection)</t>
  </si>
  <si>
    <t xml:space="preserve">opp_id</t>
  </si>
  <si>
    <t xml:space="preserve">forecast_category</t>
  </si>
  <si>
    <t xml:space="preserve">val_cr</t>
  </si>
  <si>
    <t xml:space="preserve">expected_close_date</t>
  </si>
  <si>
    <t xml:space="preserve">pushes</t>
  </si>
  <si>
    <t xml:space="preserve">days_in_stage</t>
  </si>
  <si>
    <t xml:space="preserve">contacts</t>
  </si>
  <si>
    <t xml:space="preserve">owner_ae_id</t>
  </si>
  <si>
    <t xml:space="preserve">f_stale_date</t>
  </si>
  <si>
    <t xml:space="preserve">f_slipped2</t>
  </si>
  <si>
    <t xml:space="preserve">f_aged</t>
  </si>
  <si>
    <t xml:space="preserve">f_single_thread</t>
  </si>
  <si>
    <t xml:space="preserve">f_no_activity_90d</t>
  </si>
  <si>
    <t xml:space="preserve">f_commit_not_stage5</t>
  </si>
  <si>
    <t xml:space="preserve">OPP-113578</t>
  </si>
  <si>
    <t xml:space="preserve">AE071</t>
  </si>
  <si>
    <t xml:space="preserve">OPP-111775</t>
  </si>
  <si>
    <t xml:space="preserve">AE043</t>
  </si>
  <si>
    <t xml:space="preserve">OPP-111702</t>
  </si>
  <si>
    <t xml:space="preserve">AE051</t>
  </si>
  <si>
    <t xml:space="preserve">OPP-113847</t>
  </si>
  <si>
    <t xml:space="preserve">AE107</t>
  </si>
  <si>
    <t xml:space="preserve">OPP-113065</t>
  </si>
  <si>
    <t xml:space="preserve">AE053</t>
  </si>
  <si>
    <t xml:space="preserve">OPP-112470</t>
  </si>
  <si>
    <t xml:space="preserve">AE026</t>
  </si>
  <si>
    <t xml:space="preserve">OPP-112131</t>
  </si>
  <si>
    <t xml:space="preserve">AE041</t>
  </si>
  <si>
    <t xml:space="preserve">OPP-111346</t>
  </si>
  <si>
    <t xml:space="preserve">AE005</t>
  </si>
  <si>
    <t xml:space="preserve">OPP-111874</t>
  </si>
  <si>
    <t xml:space="preserve">AE092</t>
  </si>
  <si>
    <t xml:space="preserve">OPP-109713</t>
  </si>
  <si>
    <t xml:space="preserve">AE083</t>
  </si>
  <si>
    <t xml:space="preserve">OPP-112478</t>
  </si>
  <si>
    <t xml:space="preserve">OPP-109718</t>
  </si>
  <si>
    <t xml:space="preserve">AE078</t>
  </si>
  <si>
    <t xml:space="preserve">OPP-113432</t>
  </si>
  <si>
    <t xml:space="preserve">AE031</t>
  </si>
  <si>
    <t xml:space="preserve">OPP-112907</t>
  </si>
  <si>
    <t xml:space="preserve">AE007</t>
  </si>
  <si>
    <t xml:space="preserve">OPP-113079</t>
  </si>
  <si>
    <t xml:space="preserve">OPP-113173</t>
  </si>
  <si>
    <t xml:space="preserve">AE077</t>
  </si>
  <si>
    <t xml:space="preserve">OPP-110937</t>
  </si>
  <si>
    <t xml:space="preserve">OPP-113228</t>
  </si>
  <si>
    <t xml:space="preserve">AE027</t>
  </si>
  <si>
    <t xml:space="preserve">OPP-112680</t>
  </si>
  <si>
    <t xml:space="preserve">OPP-113215</t>
  </si>
  <si>
    <t xml:space="preserve">AE024</t>
  </si>
  <si>
    <t xml:space="preserve">OPP-112316</t>
  </si>
  <si>
    <t xml:space="preserve">AE013</t>
  </si>
  <si>
    <t xml:space="preserve">OPP-112610</t>
  </si>
  <si>
    <t xml:space="preserve">AE103</t>
  </si>
  <si>
    <t xml:space="preserve">OPP-113833</t>
  </si>
  <si>
    <t xml:space="preserve">OPP-113305</t>
  </si>
  <si>
    <t xml:space="preserve">AE044</t>
  </si>
  <si>
    <t xml:space="preserve">OPP-113261</t>
  </si>
  <si>
    <t xml:space="preserve">OPP-113234</t>
  </si>
  <si>
    <t xml:space="preserve">AE104</t>
  </si>
  <si>
    <t xml:space="preserve">OPP-112592</t>
  </si>
  <si>
    <t xml:space="preserve">AE001</t>
  </si>
  <si>
    <t xml:space="preserve">OPP-113341</t>
  </si>
  <si>
    <t xml:space="preserve">OPP-110455</t>
  </si>
  <si>
    <t xml:space="preserve">OPP-113453</t>
  </si>
  <si>
    <t xml:space="preserve">AE019</t>
  </si>
  <si>
    <t xml:space="preserve">OPP-110743</t>
  </si>
  <si>
    <t xml:space="preserve">OPP-111960</t>
  </si>
  <si>
    <t xml:space="preserve">AE079</t>
  </si>
  <si>
    <t xml:space="preserve">OPP-111426</t>
  </si>
  <si>
    <t xml:space="preserve">AE063</t>
  </si>
  <si>
    <t xml:space="preserve">OPP-111947</t>
  </si>
  <si>
    <t xml:space="preserve">OPP-113108</t>
  </si>
  <si>
    <t xml:space="preserve">OPP-113005</t>
  </si>
  <si>
    <t xml:space="preserve">OPP-112526</t>
  </si>
  <si>
    <t xml:space="preserve">OPP-113506</t>
  </si>
  <si>
    <t xml:space="preserve">OPP-111849</t>
  </si>
  <si>
    <t xml:space="preserve">OPP-113714</t>
  </si>
  <si>
    <t xml:space="preserve">OPP-109746</t>
  </si>
  <si>
    <t xml:space="preserve">OPP-112377</t>
  </si>
  <si>
    <t xml:space="preserve">AE100</t>
  </si>
  <si>
    <t xml:space="preserve">OPP-113222</t>
  </si>
  <si>
    <t xml:space="preserve">AE068</t>
  </si>
  <si>
    <t xml:space="preserve">OPP-113643</t>
  </si>
  <si>
    <t xml:space="preserve">AE030</t>
  </si>
  <si>
    <t xml:space="preserve">OPP-112771</t>
  </si>
  <si>
    <t xml:space="preserve">AE022</t>
  </si>
  <si>
    <t xml:space="preserve">OPP-110930</t>
  </si>
  <si>
    <t xml:space="preserve">AE073</t>
  </si>
  <si>
    <t xml:space="preserve">OPP-112549</t>
  </si>
  <si>
    <t xml:space="preserve">AE069</t>
  </si>
  <si>
    <t xml:space="preserve">OPP-111190</t>
  </si>
  <si>
    <t xml:space="preserve">AE072</t>
  </si>
  <si>
    <t xml:space="preserve">OPP-111917</t>
  </si>
  <si>
    <t xml:space="preserve">OPP-112385</t>
  </si>
  <si>
    <t xml:space="preserve">OPP-111081</t>
  </si>
  <si>
    <t xml:space="preserve">OPP-112883</t>
  </si>
  <si>
    <t xml:space="preserve">OPP-114364</t>
  </si>
  <si>
    <t xml:space="preserve">AE105</t>
  </si>
  <si>
    <t xml:space="preserve">OPP-112806</t>
  </si>
  <si>
    <t xml:space="preserve">AE070</t>
  </si>
  <si>
    <t xml:space="preserve">OPP-112219</t>
  </si>
  <si>
    <t xml:space="preserve">AE066</t>
  </si>
  <si>
    <t xml:space="preserve">OPP-113255</t>
  </si>
  <si>
    <t xml:space="preserve">OPP-112540</t>
  </si>
  <si>
    <t xml:space="preserve">OPP-113274</t>
  </si>
  <si>
    <t xml:space="preserve">AE028</t>
  </si>
  <si>
    <t xml:space="preserve">OPP-111484</t>
  </si>
  <si>
    <t xml:space="preserve">OPP-113655</t>
  </si>
  <si>
    <t xml:space="preserve">FY27–FY29 scenarios (linked to D2 and D3 assumptions)</t>
  </si>
  <si>
    <t xml:space="preserve">Blue inputs; ending ARR = opening × NRR + new-logo ARR. D7 replaces this with the full integrated model.</t>
  </si>
  <si>
    <t xml:space="preserve">Scenario selector</t>
  </si>
  <si>
    <t xml:space="preserve">Base</t>
  </si>
  <si>
    <t xml:space="preserve">Driver</t>
  </si>
  <si>
    <t xml:space="preserve">Base FY27</t>
  </si>
  <si>
    <t xml:space="preserve">Base FY28</t>
  </si>
  <si>
    <t xml:space="preserve">Base FY29</t>
  </si>
  <si>
    <t xml:space="preserve">Down FY27</t>
  </si>
  <si>
    <t xml:space="preserve">Down FY28</t>
  </si>
  <si>
    <t xml:space="preserve">Down FY29</t>
  </si>
  <si>
    <t xml:space="preserve">Aggr FY27</t>
  </si>
  <si>
    <t xml:space="preserve">Aggr FY28</t>
  </si>
  <si>
    <t xml:space="preserve">Aggr FY29</t>
  </si>
  <si>
    <t xml:space="preserve">Source / link</t>
  </si>
  <si>
    <t xml:space="preserve">Win rate on qualified deals</t>
  </si>
  <si>
    <t xml:space="preserve">D1 FY26 16.9%; D2 plan mix implies 21.8% (63.5 won ÷ 291 qualified); board goal 23% by FY28</t>
  </si>
  <si>
    <t xml:space="preserve">Qualified opportunities (direct)</t>
  </si>
  <si>
    <t xml:space="preserve">D2 funnel (291 for FY27); FY28–29 volumes need the capacity D7 must fund</t>
  </si>
  <si>
    <t xml:space="preserve">Average won deal (₹ lakh)</t>
  </si>
  <si>
    <t xml:space="preserve">D2 plan mix (₹42.5 cr ÷ 63.5 deals)</t>
  </si>
  <si>
    <t xml:space="preserve">Partner-sourced new-logo ARR (₹ cr)</t>
  </si>
  <si>
    <t xml:space="preserve">D2 SEA plan; D6 builds the channel</t>
  </si>
  <si>
    <t xml:space="preserve">Net revenue retention</t>
  </si>
  <si>
    <t xml:space="preserve">D1 FY26 98.9%; Inject 1 retention squad; board 108% by FY29</t>
  </si>
  <si>
    <t xml:space="preserve">Direct new-logo ARR (₹ cr) = opps × win × deal</t>
  </si>
  <si>
    <t xml:space="preserve">Total new-logo ARR (₹ cr)</t>
  </si>
  <si>
    <t xml:space="preserve">Opening ARR (₹ cr)</t>
  </si>
  <si>
    <t xml:space="preserve">Ending ARR (₹ cr)</t>
  </si>
  <si>
    <t xml:space="preserve">ARR growth</t>
  </si>
  <si>
    <t xml:space="preserve">Board path ending ARR (₹ cr)</t>
  </si>
  <si>
    <t xml:space="preserve">Gap to board path (₹ cr)</t>
  </si>
  <si>
    <t xml:space="preserve">Selected scenario, FY29 ending ARR (₹ cr)</t>
  </si>
  <si>
    <t xml:space="preserve">Selected scenario, FY29 gap to ₹521.9 cr</t>
  </si>
  <si>
    <t xml:space="preserve">Forecast governance</t>
  </si>
  <si>
    <t xml:space="preserve">Categories, weekly routine, deal inspection checklist and role views</t>
  </si>
  <si>
    <t xml:space="preserve">FORECAST CATEGORIES</t>
  </si>
  <si>
    <t xml:space="preserve">Stage 5; economic buyer has confirmed the signature date; paper process mapped; ≥3 contacts; close date inside the quarter and never pushed more than once. Target conversion ≥70%.</t>
  </si>
  <si>
    <t xml:space="preserve">Best case</t>
  </si>
  <si>
    <t xml:space="preserve">Stage 4 with a quantified business case and a mutual action plan; close date inside the quarter.</t>
  </si>
  <si>
    <t xml:space="preserve">Qualified (stage 2+) with a close date inside the quarter that does not meet Best-case rules.</t>
  </si>
  <si>
    <t xml:space="preserve">Omitted</t>
  </si>
  <si>
    <t xml:space="preserve">Any hygiene flag unresolved for 2 weeks, or stage 1. Excluded from coverage and forecast.</t>
  </si>
  <si>
    <t xml:space="preserve">WEEKLY ROUTINE</t>
  </si>
  <si>
    <t xml:space="preserve">Monday 10:00</t>
  </si>
  <si>
    <t xml:space="preserve">Reps update stage, close date, next step and contacts; hygiene flags auto-generated (Hygiene sheet).</t>
  </si>
  <si>
    <t xml:space="preserve">Tuesday</t>
  </si>
  <si>
    <t xml:space="preserve">Manager 1:1 deal inspection on every Commit and Best-case deal using the checklist; flags resolved or deals moved to Omitted.</t>
  </si>
  <si>
    <t xml:space="preserve">Wednesday</t>
  </si>
  <si>
    <t xml:space="preserve">CRO forecast call: model p50 and p10–p90 vs manager call vs rep commit; explain any gap &gt; 10%.</t>
  </si>
  <si>
    <t xml:space="preserve">Thursday</t>
  </si>
  <si>
    <t xml:space="preserve">CFO view: forecast range, clean coverage vs required, top-10 deals; one number submitted to finance.</t>
  </si>
  <si>
    <t xml:space="preserve">DEAL INSPECTION CHECKLIST</t>
  </si>
  <si>
    <t xml:space="preserve">1</t>
  </si>
  <si>
    <t xml:space="preserve">Who is the economic buyer and when did we last meet them?</t>
  </si>
  <si>
    <t xml:space="preserve">2</t>
  </si>
  <si>
    <t xml:space="preserve">Which buyer-supplied number is in the business case?</t>
  </si>
  <si>
    <t xml:space="preserve">3</t>
  </si>
  <si>
    <t xml:space="preserve">How many contacts, and are finance, procurement and IT security among them?</t>
  </si>
  <si>
    <t xml:space="preserve">4</t>
  </si>
  <si>
    <t xml:space="preserve">What is the paper process, step by step, with dates?</t>
  </si>
  <si>
    <t xml:space="preserve">5</t>
  </si>
  <si>
    <t xml:space="preserve">What happens if the buyer does nothing? What is the compelling event?</t>
  </si>
  <si>
    <t xml:space="preserve">6</t>
  </si>
  <si>
    <t xml:space="preserve">Which competitor is present and what is our counter?</t>
  </si>
  <si>
    <t xml:space="preserve">7</t>
  </si>
  <si>
    <t xml:space="preserve">Has the close date moved? Why?</t>
  </si>
  <si>
    <t xml:space="preserve">ROLE VIEWS</t>
  </si>
  <si>
    <t xml:space="preserve">Rep</t>
  </si>
  <si>
    <t xml:space="preserve">Own deals with flags, next steps, contacts gap; personal commit vs model.</t>
  </si>
  <si>
    <t xml:space="preserve">Manager</t>
  </si>
  <si>
    <t xml:space="preserve">Team Commit/Best case, flag list, conversion vs plan, deals to inspect.</t>
  </si>
  <si>
    <t xml:space="preserve">CRO</t>
  </si>
  <si>
    <t xml:space="preserve">Model p50 and range vs manager calls; coverage required vs reported by region; win rate by tier and competitor.</t>
  </si>
  <si>
    <t xml:space="preserve">CFO</t>
  </si>
  <si>
    <t xml:space="preserve">One forecast number with range; bias history; clean coverage; bookings vs plan.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</si>
</sst>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.0"/>
    <numFmt numFmtId="167" formatCode="0"/>
    <numFmt numFmtId="168" formatCode="0.00"/>
    <numFmt numFmtId="169" formatCode="0.0\x"/>
    <numFmt numFmtId="170" formatCode="0%"/>
    <numFmt numFmtId="171" formatCode="\+0.0%;\-0.0%"/>
    <numFmt numFmtId="172" formatCode="0.000"/>
    <numFmt numFmtId="173" formatCode="yyyy\-mm\-dd\ h:mm:ss"/>
    <numFmt numFmtId="174" formatCode="General"/>
    <numFmt numFmtId="175" formatCode="0.0;\(0.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52514E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EF2F7"/>
        <bgColor rgb="FFF9F9F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EEF2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Coverage: reported vs required (× quarterly quota)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Coverage!E3</c:f>
              <c:strCache>
                <c:ptCount val="1"/>
                <c:pt idx="0">
                  <c:v>coverage_reported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Coverage!$A$4:$A$16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Coverage!$E$4:$E$16</c:f>
              <c:numCache>
                <c:formatCode>0.0\x</c:formatCode>
                <c:ptCount val="13"/>
                <c:pt idx="0">
                  <c:v>1.96038915913829</c:v>
                </c:pt>
                <c:pt idx="1">
                  <c:v>1.75395778364116</c:v>
                </c:pt>
                <c:pt idx="2">
                  <c:v>2.37747920665387</c:v>
                </c:pt>
                <c:pt idx="3">
                  <c:v>2.87088764742396</c:v>
                </c:pt>
                <c:pt idx="4">
                  <c:v>2.79301898346601</c:v>
                </c:pt>
                <c:pt idx="5">
                  <c:v>2.64584596725288</c:v>
                </c:pt>
                <c:pt idx="6">
                  <c:v>2.34324806662701</c:v>
                </c:pt>
                <c:pt idx="7">
                  <c:v>2.95454545454546</c:v>
                </c:pt>
                <c:pt idx="8">
                  <c:v>3.39393939393939</c:v>
                </c:pt>
                <c:pt idx="9">
                  <c:v>3.26431463273569</c:v>
                </c:pt>
                <c:pt idx="10">
                  <c:v>3.2150289017341</c:v>
                </c:pt>
                <c:pt idx="11">
                  <c:v>3.41108545034642</c:v>
                </c:pt>
                <c:pt idx="12">
                  <c:v>3.50087463556851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Coverage!H3</c:f>
              <c:strCache>
                <c:ptCount val="1"/>
                <c:pt idx="0">
                  <c:v>coverage_required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Coverage!$A$4:$A$16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Coverage!$H$4:$H$16</c:f>
              <c:numCache>
                <c:formatCode>0.0\x</c:formatCode>
                <c:ptCount val="13"/>
                <c:pt idx="2">
                  <c:v>2.51232179249842</c:v>
                </c:pt>
                <c:pt idx="3">
                  <c:v>2.80750901342565</c:v>
                </c:pt>
                <c:pt idx="4">
                  <c:v>3.13543726862535</c:v>
                </c:pt>
                <c:pt idx="5">
                  <c:v>3.63029031004828</c:v>
                </c:pt>
                <c:pt idx="6">
                  <c:v>4.10355897896777</c:v>
                </c:pt>
                <c:pt idx="7">
                  <c:v>4.52288215639928</c:v>
                </c:pt>
                <c:pt idx="8">
                  <c:v>4.60724473228</c:v>
                </c:pt>
                <c:pt idx="9">
                  <c:v>4.86795120390764</c:v>
                </c:pt>
                <c:pt idx="10">
                  <c:v>4.97259876472494</c:v>
                </c:pt>
                <c:pt idx="11">
                  <c:v>5.25850904212062</c:v>
                </c:pt>
                <c:pt idx="12">
                  <c:v>5.59889032014696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984507"/>
        <c:axId val="52878301"/>
      </c:lineChart>
      <c:catAx>
        <c:axId val="64984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78301"/>
        <c:crosses val="autoZero"/>
        <c:auto val="1"/>
        <c:lblAlgn val="ctr"/>
        <c:lblOffset val="100"/>
        <c:noMultiLvlLbl val="0"/>
      </c:catAx>
      <c:valAx>
        <c:axId val="528783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84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selected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Dashboard!$A$13:$A$20</c:f>
              <c:strCache>
                <c:ptCount val="8"/>
                <c:pt idx="0">
                  <c:v>9-24 months</c:v>
                </c:pt>
                <c:pt idx="1">
                  <c:v>&lt;9 months</c:v>
                </c:pt>
                <c:pt idx="2">
                  <c:v>&gt;24 months</c:v>
                </c:pt>
                <c:pt idx="3">
                  <c:v>Reassigned deal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Dashboard!$C$13:$C$20</c:f>
              <c:numCache>
                <c:formatCode>0.0%</c:formatCode>
                <c:ptCount val="8"/>
                <c:pt idx="0">
                  <c:v>0.126760563380282</c:v>
                </c:pt>
                <c:pt idx="1">
                  <c:v>0.0923076923076923</c:v>
                </c:pt>
                <c:pt idx="2">
                  <c:v>0.192</c:v>
                </c:pt>
                <c:pt idx="3">
                  <c:v>0.217391304347826</c:v>
                </c:pt>
              </c:numCache>
            </c:numRef>
          </c:val>
        </c:ser>
        <c:gapWidth val="150"/>
        <c:overlap val="0"/>
        <c:axId val="49052137"/>
        <c:axId val="16220976"/>
      </c:barChart>
      <c:catAx>
        <c:axId val="49052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20976"/>
        <c:crosses val="autoZero"/>
        <c:auto val="1"/>
        <c:lblAlgn val="ctr"/>
        <c:lblOffset val="100"/>
        <c:noMultiLvlLbl val="0"/>
      </c:catAx>
      <c:valAx>
        <c:axId val="16220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521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Coverage: reported vs required (× quarterly quota)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Coverage!E3</c:f>
              <c:strCache>
                <c:ptCount val="1"/>
                <c:pt idx="0">
                  <c:v>coverage_reported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Coverage!$A$4:$A$16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Coverage!$E$4:$E$16</c:f>
              <c:numCache>
                <c:formatCode>0.0\x</c:formatCode>
                <c:ptCount val="13"/>
                <c:pt idx="0">
                  <c:v>1.96038915913829</c:v>
                </c:pt>
                <c:pt idx="1">
                  <c:v>1.75395778364116</c:v>
                </c:pt>
                <c:pt idx="2">
                  <c:v>2.37747920665387</c:v>
                </c:pt>
                <c:pt idx="3">
                  <c:v>2.87088764742396</c:v>
                </c:pt>
                <c:pt idx="4">
                  <c:v>2.79301898346601</c:v>
                </c:pt>
                <c:pt idx="5">
                  <c:v>2.64584596725288</c:v>
                </c:pt>
                <c:pt idx="6">
                  <c:v>2.34324806662701</c:v>
                </c:pt>
                <c:pt idx="7">
                  <c:v>2.95454545454546</c:v>
                </c:pt>
                <c:pt idx="8">
                  <c:v>3.39393939393939</c:v>
                </c:pt>
                <c:pt idx="9">
                  <c:v>3.26431463273569</c:v>
                </c:pt>
                <c:pt idx="10">
                  <c:v>3.2150289017341</c:v>
                </c:pt>
                <c:pt idx="11">
                  <c:v>3.41108545034642</c:v>
                </c:pt>
                <c:pt idx="12">
                  <c:v>3.50087463556851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Coverage!H3</c:f>
              <c:strCache>
                <c:ptCount val="1"/>
                <c:pt idx="0">
                  <c:v>coverage_required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Coverage!$A$4:$A$16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Coverage!$H$4:$H$16</c:f>
              <c:numCache>
                <c:formatCode>0.0\x</c:formatCode>
                <c:ptCount val="13"/>
                <c:pt idx="2">
                  <c:v>2.51232179249842</c:v>
                </c:pt>
                <c:pt idx="3">
                  <c:v>2.80750901342565</c:v>
                </c:pt>
                <c:pt idx="4">
                  <c:v>3.13543726862535</c:v>
                </c:pt>
                <c:pt idx="5">
                  <c:v>3.63029031004828</c:v>
                </c:pt>
                <c:pt idx="6">
                  <c:v>4.10355897896777</c:v>
                </c:pt>
                <c:pt idx="7">
                  <c:v>4.52288215639928</c:v>
                </c:pt>
                <c:pt idx="8">
                  <c:v>4.60724473228</c:v>
                </c:pt>
                <c:pt idx="9">
                  <c:v>4.86795120390764</c:v>
                </c:pt>
                <c:pt idx="10">
                  <c:v>4.97259876472494</c:v>
                </c:pt>
                <c:pt idx="11">
                  <c:v>5.25850904212062</c:v>
                </c:pt>
                <c:pt idx="12">
                  <c:v>5.59889032014696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985963"/>
        <c:axId val="51461782"/>
      </c:lineChart>
      <c:catAx>
        <c:axId val="44985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61782"/>
        <c:crosses val="autoZero"/>
        <c:auto val="1"/>
        <c:lblAlgn val="ctr"/>
        <c:lblOffset val="100"/>
        <c:noMultiLvlLbl val="0"/>
      </c:catAx>
      <c:valAx>
        <c:axId val="51461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85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 forecasts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Backtest!B4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Backtest!$A$5:$A$12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Backtest!$B$5:$B$12</c:f>
              <c:numCache>
                <c:formatCode>0.00</c:formatCode>
                <c:ptCount val="8"/>
                <c:pt idx="0">
                  <c:v>12.484</c:v>
                </c:pt>
                <c:pt idx="1">
                  <c:v>9.6592</c:v>
                </c:pt>
                <c:pt idx="2">
                  <c:v>7.1735</c:v>
                </c:pt>
                <c:pt idx="3">
                  <c:v>9.6828</c:v>
                </c:pt>
                <c:pt idx="4">
                  <c:v>13.233</c:v>
                </c:pt>
                <c:pt idx="5">
                  <c:v>11.5192</c:v>
                </c:pt>
                <c:pt idx="6">
                  <c:v>7.6966</c:v>
                </c:pt>
                <c:pt idx="7">
                  <c:v>8.5511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Backtest!C4</c:f>
              <c:strCache>
                <c:ptCount val="1"/>
                <c:pt idx="0">
                  <c:v>commit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Backtest!$A$5:$A$12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Backtest!$C$5:$C$12</c:f>
              <c:numCache>
                <c:formatCode>0.00</c:formatCode>
                <c:ptCount val="8"/>
                <c:pt idx="0">
                  <c:v>11.65</c:v>
                </c:pt>
                <c:pt idx="1">
                  <c:v>15.52</c:v>
                </c:pt>
                <c:pt idx="2">
                  <c:v>7.61</c:v>
                </c:pt>
                <c:pt idx="3">
                  <c:v>10.09</c:v>
                </c:pt>
                <c:pt idx="4">
                  <c:v>15.74</c:v>
                </c:pt>
                <c:pt idx="5">
                  <c:v>15.87</c:v>
                </c:pt>
                <c:pt idx="6">
                  <c:v>10.72</c:v>
                </c:pt>
                <c:pt idx="7">
                  <c:v>11.93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Backtest!D4</c:f>
              <c:strCache>
                <c:ptCount val="1"/>
                <c:pt idx="0">
                  <c:v>stage_weighted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Backtest!$A$5:$A$12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Backtest!$D$5:$D$12</c:f>
              <c:numCache>
                <c:formatCode>0.00</c:formatCode>
                <c:ptCount val="8"/>
                <c:pt idx="0">
                  <c:v>14.501311243542</c:v>
                </c:pt>
                <c:pt idx="1">
                  <c:v>10.6609820688363</c:v>
                </c:pt>
                <c:pt idx="2">
                  <c:v>8.10748464309596</c:v>
                </c:pt>
                <c:pt idx="3">
                  <c:v>9.71308013049193</c:v>
                </c:pt>
                <c:pt idx="4">
                  <c:v>11.4804307115937</c:v>
                </c:pt>
                <c:pt idx="5">
                  <c:v>13.2045605629885</c:v>
                </c:pt>
                <c:pt idx="6">
                  <c:v>12.2285940561402</c:v>
                </c:pt>
                <c:pt idx="7">
                  <c:v>11.1202020226466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Backtest!H4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Backtest!$A$5:$A$12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Backtest!$H$5:$H$12</c:f>
              <c:numCache>
                <c:formatCode>0.00</c:formatCode>
                <c:ptCount val="8"/>
                <c:pt idx="0">
                  <c:v>12.3356848671515</c:v>
                </c:pt>
                <c:pt idx="1">
                  <c:v>9.12338928801032</c:v>
                </c:pt>
                <c:pt idx="2">
                  <c:v>6.93817305647188</c:v>
                </c:pt>
                <c:pt idx="3">
                  <c:v>8.47800064959112</c:v>
                </c:pt>
                <c:pt idx="4">
                  <c:v>10.2797645347861</c:v>
                </c:pt>
                <c:pt idx="5">
                  <c:v>12.5635807824336</c:v>
                </c:pt>
                <c:pt idx="6">
                  <c:v>11.5051641481326</c:v>
                </c:pt>
                <c:pt idx="7">
                  <c:v>10.3932066263772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967000"/>
        <c:axId val="23740382"/>
      </c:lineChart>
      <c:catAx>
        <c:axId val="7496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40382"/>
        <c:crosses val="autoZero"/>
        <c:auto val="1"/>
        <c:lblAlgn val="ctr"/>
        <c:lblOffset val="100"/>
        <c:noMultiLvlLbl val="0"/>
      </c:catAx>
      <c:valAx>
        <c:axId val="23740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670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 forecasts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Backtest!B4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Backtest!$A$5:$A$12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Backtest!$B$5:$B$12</c:f>
              <c:numCache>
                <c:formatCode>0.00</c:formatCode>
                <c:ptCount val="8"/>
                <c:pt idx="0">
                  <c:v>12.484</c:v>
                </c:pt>
                <c:pt idx="1">
                  <c:v>9.6592</c:v>
                </c:pt>
                <c:pt idx="2">
                  <c:v>7.1735</c:v>
                </c:pt>
                <c:pt idx="3">
                  <c:v>9.6828</c:v>
                </c:pt>
                <c:pt idx="4">
                  <c:v>13.233</c:v>
                </c:pt>
                <c:pt idx="5">
                  <c:v>11.5192</c:v>
                </c:pt>
                <c:pt idx="6">
                  <c:v>7.6966</c:v>
                </c:pt>
                <c:pt idx="7">
                  <c:v>8.5511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Backtest!C4</c:f>
              <c:strCache>
                <c:ptCount val="1"/>
                <c:pt idx="0">
                  <c:v>commit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Backtest!$A$5:$A$12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Backtest!$C$5:$C$12</c:f>
              <c:numCache>
                <c:formatCode>0.00</c:formatCode>
                <c:ptCount val="8"/>
                <c:pt idx="0">
                  <c:v>11.65</c:v>
                </c:pt>
                <c:pt idx="1">
                  <c:v>15.52</c:v>
                </c:pt>
                <c:pt idx="2">
                  <c:v>7.61</c:v>
                </c:pt>
                <c:pt idx="3">
                  <c:v>10.09</c:v>
                </c:pt>
                <c:pt idx="4">
                  <c:v>15.74</c:v>
                </c:pt>
                <c:pt idx="5">
                  <c:v>15.87</c:v>
                </c:pt>
                <c:pt idx="6">
                  <c:v>10.72</c:v>
                </c:pt>
                <c:pt idx="7">
                  <c:v>11.93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Backtest!D4</c:f>
              <c:strCache>
                <c:ptCount val="1"/>
                <c:pt idx="0">
                  <c:v>stage_weighted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Backtest!$A$5:$A$12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Backtest!$D$5:$D$12</c:f>
              <c:numCache>
                <c:formatCode>0.00</c:formatCode>
                <c:ptCount val="8"/>
                <c:pt idx="0">
                  <c:v>14.501311243542</c:v>
                </c:pt>
                <c:pt idx="1">
                  <c:v>10.6609820688363</c:v>
                </c:pt>
                <c:pt idx="2">
                  <c:v>8.10748464309596</c:v>
                </c:pt>
                <c:pt idx="3">
                  <c:v>9.71308013049193</c:v>
                </c:pt>
                <c:pt idx="4">
                  <c:v>11.4804307115937</c:v>
                </c:pt>
                <c:pt idx="5">
                  <c:v>13.2045605629885</c:v>
                </c:pt>
                <c:pt idx="6">
                  <c:v>12.2285940561402</c:v>
                </c:pt>
                <c:pt idx="7">
                  <c:v>11.1202020226466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Backtest!H4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Backtest!$A$5:$A$12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Backtest!$H$5:$H$12</c:f>
              <c:numCache>
                <c:formatCode>0.00</c:formatCode>
                <c:ptCount val="8"/>
                <c:pt idx="0">
                  <c:v>12.3356848671515</c:v>
                </c:pt>
                <c:pt idx="1">
                  <c:v>9.12338928801032</c:v>
                </c:pt>
                <c:pt idx="2">
                  <c:v>6.93817305647188</c:v>
                </c:pt>
                <c:pt idx="3">
                  <c:v>8.47800064959112</c:v>
                </c:pt>
                <c:pt idx="4">
                  <c:v>10.2797645347861</c:v>
                </c:pt>
                <c:pt idx="5">
                  <c:v>12.5635807824336</c:v>
                </c:pt>
                <c:pt idx="6">
                  <c:v>11.5051641481326</c:v>
                </c:pt>
                <c:pt idx="7">
                  <c:v>10.3932066263772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186218"/>
        <c:axId val="49458318"/>
      </c:lineChart>
      <c:catAx>
        <c:axId val="451862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58318"/>
        <c:crosses val="autoZero"/>
        <c:auto val="1"/>
        <c:lblAlgn val="ctr"/>
        <c:lblOffset val="100"/>
        <c:noMultiLvlLbl val="0"/>
      </c:catAx>
      <c:valAx>
        <c:axId val="49458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86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111600</xdr:rowOff>
    </xdr:from>
    <xdr:to>
      <xdr:col>7</xdr:col>
      <xdr:colOff>770400</xdr:colOff>
      <xdr:row>31</xdr:row>
      <xdr:rowOff>133920</xdr:rowOff>
    </xdr:to>
    <xdr:graphicFrame>
      <xdr:nvGraphicFramePr>
        <xdr:cNvPr id="0" name="Chart 1"/>
        <xdr:cNvGraphicFramePr/>
      </xdr:nvGraphicFramePr>
      <xdr:xfrm>
        <a:off x="0" y="3429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116280</xdr:rowOff>
    </xdr:from>
    <xdr:to>
      <xdr:col>15</xdr:col>
      <xdr:colOff>117000</xdr:colOff>
      <xdr:row>19</xdr:row>
      <xdr:rowOff>46800</xdr:rowOff>
    </xdr:to>
    <xdr:graphicFrame>
      <xdr:nvGraphicFramePr>
        <xdr:cNvPr id="1" name="Chart 1"/>
        <xdr:cNvGraphicFramePr/>
      </xdr:nvGraphicFramePr>
      <xdr:xfrm>
        <a:off x="8035200" y="1495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3600</xdr:rowOff>
    </xdr:from>
    <xdr:to>
      <xdr:col>4</xdr:col>
      <xdr:colOff>684720</xdr:colOff>
      <xdr:row>36</xdr:row>
      <xdr:rowOff>25920</xdr:rowOff>
    </xdr:to>
    <xdr:graphicFrame>
      <xdr:nvGraphicFramePr>
        <xdr:cNvPr id="2" name="Chart 2"/>
        <xdr:cNvGraphicFramePr/>
      </xdr:nvGraphicFramePr>
      <xdr:xfrm>
        <a:off x="0" y="43527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3600</xdr:rowOff>
    </xdr:from>
    <xdr:to>
      <xdr:col>15</xdr:col>
      <xdr:colOff>117000</xdr:colOff>
      <xdr:row>36</xdr:row>
      <xdr:rowOff>25920</xdr:rowOff>
    </xdr:to>
    <xdr:graphicFrame>
      <xdr:nvGraphicFramePr>
        <xdr:cNvPr id="3" name="Chart 3"/>
        <xdr:cNvGraphicFramePr/>
      </xdr:nvGraphicFramePr>
      <xdr:xfrm>
        <a:off x="8035200" y="43527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12</xdr:row>
      <xdr:rowOff>63360</xdr:rowOff>
    </xdr:from>
    <xdr:to>
      <xdr:col>16</xdr:col>
      <xdr:colOff>484560</xdr:colOff>
      <xdr:row>26</xdr:row>
      <xdr:rowOff>163800</xdr:rowOff>
    </xdr:to>
    <xdr:graphicFrame>
      <xdr:nvGraphicFramePr>
        <xdr:cNvPr id="4" name="Chart 1"/>
        <xdr:cNvGraphicFramePr/>
      </xdr:nvGraphicFramePr>
      <xdr:xfrm>
        <a:off x="5497920" y="2476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23.85" hidden="false" customHeight="false" outlineLevel="0" collapsed="false">
      <c r="A5" s="3" t="s">
        <v>7</v>
      </c>
      <c r="B5" s="2" t="s">
        <v>8</v>
      </c>
    </row>
    <row r="6" customFormat="false" ht="15" hidden="false" customHeight="false" outlineLevel="0" collapsed="false">
      <c r="A6" s="3" t="s">
        <v>9</v>
      </c>
      <c r="B6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44"/>
  </cols>
  <sheetData>
    <row r="1" customFormat="false" ht="16.15" hidden="false" customHeight="false" outlineLevel="0" collapsed="false">
      <c r="A1" s="4" t="s">
        <v>11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5" t="s">
        <v>12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3.85" hidden="false" customHeight="fals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</row>
    <row r="5" customFormat="false" ht="15" hidden="false" customHeight="false" outlineLevel="0" collapsed="false">
      <c r="A5" s="3" t="s">
        <v>22</v>
      </c>
      <c r="B5" s="3" t="s">
        <v>23</v>
      </c>
      <c r="C5" s="3" t="s">
        <v>24</v>
      </c>
      <c r="D5" s="3" t="n">
        <v>161</v>
      </c>
      <c r="E5" s="7" t="n">
        <v>0.254658385093168</v>
      </c>
      <c r="F5" s="8" t="n">
        <v>35.2241463414634</v>
      </c>
      <c r="G5" s="9" t="n">
        <v>197.073170731707</v>
      </c>
      <c r="H5" s="10" t="n">
        <v>7.32819183168317</v>
      </c>
      <c r="I5" s="3" t="s">
        <v>25</v>
      </c>
    </row>
    <row r="6" customFormat="false" ht="15" hidden="false" customHeight="false" outlineLevel="0" collapsed="false">
      <c r="A6" s="3" t="s">
        <v>22</v>
      </c>
      <c r="B6" s="3" t="s">
        <v>23</v>
      </c>
      <c r="C6" s="3" t="s">
        <v>26</v>
      </c>
      <c r="D6" s="3" t="n">
        <v>160</v>
      </c>
      <c r="E6" s="7" t="n">
        <v>0.2</v>
      </c>
      <c r="F6" s="8" t="n">
        <v>45.60125</v>
      </c>
      <c r="G6" s="9" t="n">
        <v>204.96875</v>
      </c>
      <c r="H6" s="10" t="n">
        <v>7.11932916603141</v>
      </c>
      <c r="I6" s="3" t="s">
        <v>27</v>
      </c>
    </row>
    <row r="7" customFormat="false" ht="15" hidden="false" customHeight="false" outlineLevel="0" collapsed="false">
      <c r="A7" s="3" t="s">
        <v>22</v>
      </c>
      <c r="B7" s="3" t="s">
        <v>23</v>
      </c>
      <c r="C7" s="3" t="s">
        <v>28</v>
      </c>
      <c r="D7" s="3" t="n">
        <v>178</v>
      </c>
      <c r="E7" s="7" t="n">
        <v>0.174157303370787</v>
      </c>
      <c r="F7" s="8" t="n">
        <v>46.5083870967742</v>
      </c>
      <c r="G7" s="9" t="n">
        <v>270.225806451613</v>
      </c>
      <c r="H7" s="10" t="n">
        <v>5.33538975766981</v>
      </c>
      <c r="I7" s="3" t="s">
        <v>29</v>
      </c>
    </row>
    <row r="8" customFormat="false" ht="15" hidden="false" customHeight="false" outlineLevel="0" collapsed="false">
      <c r="A8" s="3" t="s">
        <v>22</v>
      </c>
      <c r="B8" s="3" t="s">
        <v>30</v>
      </c>
      <c r="C8" s="3" t="s">
        <v>24</v>
      </c>
      <c r="D8" s="3" t="n">
        <v>62</v>
      </c>
      <c r="E8" s="7" t="n">
        <v>0.258064516129032</v>
      </c>
      <c r="F8" s="8" t="n">
        <v>46.4975</v>
      </c>
      <c r="G8" s="9" t="n">
        <v>176.125</v>
      </c>
      <c r="H8" s="10" t="n">
        <v>4.22404542228531</v>
      </c>
      <c r="I8" s="3" t="s">
        <v>31</v>
      </c>
    </row>
    <row r="9" customFormat="false" ht="15" hidden="false" customHeight="false" outlineLevel="0" collapsed="false">
      <c r="A9" s="3" t="s">
        <v>22</v>
      </c>
      <c r="B9" s="3" t="s">
        <v>30</v>
      </c>
      <c r="C9" s="3" t="s">
        <v>26</v>
      </c>
      <c r="D9" s="3" t="n">
        <v>63</v>
      </c>
      <c r="E9" s="7" t="n">
        <v>0.206349206349206</v>
      </c>
      <c r="F9" s="8" t="n">
        <v>52.8592307692308</v>
      </c>
      <c r="G9" s="9" t="n">
        <v>252.461538461539</v>
      </c>
      <c r="H9" s="10" t="n">
        <v>2.72187995124924</v>
      </c>
      <c r="I9" s="3" t="s">
        <v>32</v>
      </c>
    </row>
    <row r="10" customFormat="false" ht="15" hidden="false" customHeight="false" outlineLevel="0" collapsed="false">
      <c r="A10" s="3" t="s">
        <v>22</v>
      </c>
      <c r="B10" s="3" t="s">
        <v>30</v>
      </c>
      <c r="C10" s="3" t="s">
        <v>28</v>
      </c>
      <c r="D10" s="3" t="n">
        <v>56</v>
      </c>
      <c r="E10" s="7" t="n">
        <v>0.232142857142857</v>
      </c>
      <c r="F10" s="8" t="n">
        <v>81.3161538461539</v>
      </c>
      <c r="G10" s="9" t="n">
        <v>257.846153846154</v>
      </c>
      <c r="H10" s="10" t="n">
        <v>4.09977028639618</v>
      </c>
      <c r="I10" s="3" t="s">
        <v>33</v>
      </c>
    </row>
    <row r="11" customFormat="false" ht="15" hidden="false" customHeight="false" outlineLevel="0" collapsed="false">
      <c r="A11" s="3" t="s">
        <v>22</v>
      </c>
      <c r="B11" s="3" t="s">
        <v>34</v>
      </c>
      <c r="C11" s="3" t="s">
        <v>24</v>
      </c>
      <c r="D11" s="3" t="n">
        <v>39</v>
      </c>
      <c r="E11" s="7" t="n">
        <v>0.102564102564103</v>
      </c>
      <c r="F11" s="8" t="n">
        <v>15.91</v>
      </c>
      <c r="G11" s="9" t="n">
        <v>125</v>
      </c>
      <c r="H11" s="10" t="n">
        <v>0.50912</v>
      </c>
      <c r="I11" s="3" t="s">
        <v>35</v>
      </c>
    </row>
    <row r="12" customFormat="false" ht="15" hidden="false" customHeight="false" outlineLevel="0" collapsed="false">
      <c r="A12" s="3" t="s">
        <v>22</v>
      </c>
      <c r="B12" s="3" t="s">
        <v>34</v>
      </c>
      <c r="C12" s="3" t="s">
        <v>26</v>
      </c>
      <c r="D12" s="3" t="n">
        <v>41</v>
      </c>
      <c r="E12" s="7" t="n">
        <v>0.0487804878048781</v>
      </c>
      <c r="F12" s="8" t="n">
        <v>43.495</v>
      </c>
      <c r="G12" s="9" t="n">
        <v>177</v>
      </c>
      <c r="H12" s="10" t="n">
        <v>0.491468926553672</v>
      </c>
      <c r="I12" s="3" t="s">
        <v>36</v>
      </c>
    </row>
    <row r="13" customFormat="false" ht="15" hidden="false" customHeight="false" outlineLevel="0" collapsed="false">
      <c r="A13" s="3" t="s">
        <v>22</v>
      </c>
      <c r="B13" s="3" t="s">
        <v>34</v>
      </c>
      <c r="C13" s="3" t="s">
        <v>28</v>
      </c>
      <c r="D13" s="3" t="n">
        <v>80</v>
      </c>
      <c r="E13" s="7" t="n">
        <v>0.075</v>
      </c>
      <c r="F13" s="8" t="n">
        <v>43.98</v>
      </c>
      <c r="G13" s="9" t="n">
        <v>230.333333333333</v>
      </c>
      <c r="H13" s="10" t="n">
        <v>1.14564399421129</v>
      </c>
      <c r="I13" s="3" t="s">
        <v>37</v>
      </c>
    </row>
    <row r="14" customFormat="false" ht="15" hidden="false" customHeight="false" outlineLevel="0" collapsed="false">
      <c r="A14" s="3" t="s">
        <v>22</v>
      </c>
      <c r="B14" s="3" t="s">
        <v>38</v>
      </c>
      <c r="C14" s="3" t="s">
        <v>24</v>
      </c>
      <c r="D14" s="3" t="n">
        <v>148</v>
      </c>
      <c r="E14" s="7" t="n">
        <v>0.25</v>
      </c>
      <c r="F14" s="8" t="n">
        <v>51.5740540540541</v>
      </c>
      <c r="G14" s="9" t="n">
        <v>190.432432432432</v>
      </c>
      <c r="H14" s="10" t="n">
        <v>10.0205620210048</v>
      </c>
      <c r="I14" s="3" t="s">
        <v>39</v>
      </c>
    </row>
    <row r="15" customFormat="false" ht="15" hidden="false" customHeight="false" outlineLevel="0" collapsed="false">
      <c r="A15" s="3" t="s">
        <v>22</v>
      </c>
      <c r="B15" s="3" t="s">
        <v>38</v>
      </c>
      <c r="C15" s="3" t="s">
        <v>26</v>
      </c>
      <c r="D15" s="3" t="n">
        <v>112</v>
      </c>
      <c r="E15" s="7" t="n">
        <v>0.241071428571429</v>
      </c>
      <c r="F15" s="8" t="n">
        <v>61.7240740740741</v>
      </c>
      <c r="G15" s="9" t="n">
        <v>227.555555555556</v>
      </c>
      <c r="H15" s="10" t="n">
        <v>7.3237060546875</v>
      </c>
      <c r="I15" s="3" t="s">
        <v>40</v>
      </c>
    </row>
    <row r="16" customFormat="false" ht="15" hidden="false" customHeight="false" outlineLevel="0" collapsed="false">
      <c r="A16" s="3" t="s">
        <v>22</v>
      </c>
      <c r="B16" s="3" t="s">
        <v>38</v>
      </c>
      <c r="C16" s="3" t="s">
        <v>28</v>
      </c>
      <c r="D16" s="3" t="n">
        <v>118</v>
      </c>
      <c r="E16" s="7" t="n">
        <v>0.194915254237288</v>
      </c>
      <c r="F16" s="8" t="n">
        <v>58.1408695652174</v>
      </c>
      <c r="G16" s="9" t="n">
        <v>204.304347826087</v>
      </c>
      <c r="H16" s="10" t="n">
        <v>6.54533304958502</v>
      </c>
      <c r="I16" s="3" t="s">
        <v>41</v>
      </c>
    </row>
    <row r="17" customFormat="false" ht="15" hidden="false" customHeight="false" outlineLevel="0" collapsed="false">
      <c r="A17" s="3" t="s">
        <v>42</v>
      </c>
      <c r="B17" s="3" t="s">
        <v>43</v>
      </c>
      <c r="C17" s="3" t="s">
        <v>24</v>
      </c>
      <c r="D17" s="3" t="n">
        <v>109</v>
      </c>
      <c r="E17" s="7" t="n">
        <v>0.26605504587156</v>
      </c>
      <c r="F17" s="8" t="n">
        <v>39.8534482758621</v>
      </c>
      <c r="G17" s="9" t="n">
        <v>177.51724137931</v>
      </c>
      <c r="H17" s="10" t="n">
        <v>6.5106351981352</v>
      </c>
      <c r="I17" s="3" t="s">
        <v>44</v>
      </c>
    </row>
    <row r="18" customFormat="false" ht="15" hidden="false" customHeight="false" outlineLevel="0" collapsed="false">
      <c r="A18" s="3" t="s">
        <v>42</v>
      </c>
      <c r="B18" s="3" t="s">
        <v>43</v>
      </c>
      <c r="C18" s="3" t="s">
        <v>26</v>
      </c>
      <c r="D18" s="3" t="n">
        <v>88</v>
      </c>
      <c r="E18" s="7" t="n">
        <v>0.238636363636364</v>
      </c>
      <c r="F18" s="8" t="n">
        <v>49.2747619047619</v>
      </c>
      <c r="G18" s="9" t="n">
        <v>226.571428571429</v>
      </c>
      <c r="H18" s="10" t="n">
        <v>4.56708070617907</v>
      </c>
      <c r="I18" s="3" t="s">
        <v>45</v>
      </c>
    </row>
    <row r="19" customFormat="false" ht="15" hidden="false" customHeight="false" outlineLevel="0" collapsed="false">
      <c r="A19" s="3" t="s">
        <v>42</v>
      </c>
      <c r="B19" s="3" t="s">
        <v>43</v>
      </c>
      <c r="C19" s="3" t="s">
        <v>28</v>
      </c>
      <c r="D19" s="3" t="n">
        <v>111</v>
      </c>
      <c r="E19" s="7" t="n">
        <v>0.198198198198198</v>
      </c>
      <c r="F19" s="8" t="n">
        <v>52.5231818181818</v>
      </c>
      <c r="G19" s="9" t="n">
        <v>228.272727272727</v>
      </c>
      <c r="H19" s="10" t="n">
        <v>5.06197132616488</v>
      </c>
      <c r="I19" s="3" t="s">
        <v>46</v>
      </c>
    </row>
    <row r="20" customFormat="false" ht="15" hidden="false" customHeight="false" outlineLevel="0" collapsed="false">
      <c r="A20" s="3" t="s">
        <v>42</v>
      </c>
      <c r="B20" s="3" t="s">
        <v>47</v>
      </c>
      <c r="C20" s="3" t="s">
        <v>24</v>
      </c>
      <c r="D20" s="3" t="n">
        <v>27</v>
      </c>
      <c r="E20" s="7" t="n">
        <v>0.296296296296296</v>
      </c>
      <c r="F20" s="8" t="n">
        <v>63.345</v>
      </c>
      <c r="G20" s="9" t="n">
        <v>156.25</v>
      </c>
      <c r="H20" s="10" t="n">
        <v>3.243264</v>
      </c>
      <c r="I20" s="3" t="s">
        <v>48</v>
      </c>
    </row>
    <row r="21" customFormat="false" ht="15" hidden="false" customHeight="false" outlineLevel="0" collapsed="false">
      <c r="A21" s="3" t="s">
        <v>42</v>
      </c>
      <c r="B21" s="3" t="s">
        <v>47</v>
      </c>
      <c r="C21" s="3" t="s">
        <v>26</v>
      </c>
      <c r="D21" s="3" t="n">
        <v>32</v>
      </c>
      <c r="E21" s="7" t="n">
        <v>0.375</v>
      </c>
      <c r="F21" s="8" t="n">
        <v>45.1358333333333</v>
      </c>
      <c r="G21" s="9" t="n">
        <v>212.416666666667</v>
      </c>
      <c r="H21" s="10" t="n">
        <v>2.54984699882307</v>
      </c>
      <c r="I21" s="3" t="s">
        <v>49</v>
      </c>
    </row>
    <row r="22" customFormat="false" ht="15" hidden="false" customHeight="false" outlineLevel="0" collapsed="false">
      <c r="A22" s="3" t="s">
        <v>42</v>
      </c>
      <c r="B22" s="3" t="s">
        <v>47</v>
      </c>
      <c r="C22" s="3" t="s">
        <v>28</v>
      </c>
      <c r="D22" s="3" t="n">
        <v>34</v>
      </c>
      <c r="E22" s="7" t="n">
        <v>0.235294117647059</v>
      </c>
      <c r="F22" s="8" t="n">
        <v>66.6225</v>
      </c>
      <c r="G22" s="9" t="n">
        <v>234.75</v>
      </c>
      <c r="H22" s="10" t="n">
        <v>2.27041533546326</v>
      </c>
      <c r="I22" s="3" t="s">
        <v>50</v>
      </c>
    </row>
    <row r="23" customFormat="false" ht="15" hidden="false" customHeight="false" outlineLevel="0" collapsed="false">
      <c r="A23" s="3" t="s">
        <v>42</v>
      </c>
      <c r="B23" s="3" t="s">
        <v>51</v>
      </c>
      <c r="C23" s="3" t="s">
        <v>24</v>
      </c>
      <c r="D23" s="3" t="n">
        <v>33</v>
      </c>
      <c r="E23" s="7" t="n">
        <v>0.181818181818182</v>
      </c>
      <c r="F23" s="8" t="n">
        <v>41.3983333333333</v>
      </c>
      <c r="G23" s="9" t="n">
        <v>166.333333333333</v>
      </c>
      <c r="H23" s="10" t="n">
        <v>1.49332665330661</v>
      </c>
      <c r="I23" s="3" t="s">
        <v>52</v>
      </c>
    </row>
    <row r="24" customFormat="false" ht="15" hidden="false" customHeight="false" outlineLevel="0" collapsed="false">
      <c r="A24" s="3" t="s">
        <v>42</v>
      </c>
      <c r="B24" s="3" t="s">
        <v>51</v>
      </c>
      <c r="C24" s="3" t="s">
        <v>26</v>
      </c>
      <c r="D24" s="3" t="n">
        <v>28</v>
      </c>
      <c r="E24" s="7" t="n">
        <v>0.214285714285714</v>
      </c>
      <c r="F24" s="8" t="n">
        <v>93.145</v>
      </c>
      <c r="G24" s="9" t="n">
        <v>236.166666666667</v>
      </c>
      <c r="H24" s="10" t="n">
        <v>2.36642201834862</v>
      </c>
      <c r="I24" s="3" t="s">
        <v>53</v>
      </c>
    </row>
    <row r="25" customFormat="false" ht="15" hidden="false" customHeight="false" outlineLevel="0" collapsed="false">
      <c r="A25" s="3" t="s">
        <v>42</v>
      </c>
      <c r="B25" s="3" t="s">
        <v>51</v>
      </c>
      <c r="C25" s="3" t="s">
        <v>28</v>
      </c>
      <c r="D25" s="3" t="n">
        <v>32</v>
      </c>
      <c r="E25" s="7" t="n">
        <v>0.09375</v>
      </c>
      <c r="F25" s="8" t="n">
        <v>50.0266666666667</v>
      </c>
      <c r="G25" s="9" t="n">
        <v>204.333333333333</v>
      </c>
      <c r="H25" s="10" t="n">
        <v>0.734486133768352</v>
      </c>
      <c r="I25" s="3" t="s">
        <v>54</v>
      </c>
    </row>
    <row r="26" customFormat="false" ht="15" hidden="false" customHeight="false" outlineLevel="0" collapsed="false">
      <c r="A26" s="3" t="s">
        <v>42</v>
      </c>
      <c r="B26" s="3" t="s">
        <v>55</v>
      </c>
      <c r="C26" s="3" t="s">
        <v>24</v>
      </c>
      <c r="D26" s="3" t="n">
        <v>32</v>
      </c>
      <c r="E26" s="7" t="n">
        <v>0.375</v>
      </c>
      <c r="F26" s="8" t="n">
        <v>37.4016666666667</v>
      </c>
      <c r="G26" s="9" t="n">
        <v>192.083333333333</v>
      </c>
      <c r="H26" s="10" t="n">
        <v>2.33659002169197</v>
      </c>
      <c r="I26" s="3" t="s">
        <v>56</v>
      </c>
    </row>
    <row r="27" customFormat="false" ht="15" hidden="false" customHeight="false" outlineLevel="0" collapsed="false">
      <c r="A27" s="3" t="s">
        <v>42</v>
      </c>
      <c r="B27" s="3" t="s">
        <v>55</v>
      </c>
      <c r="C27" s="3" t="s">
        <v>26</v>
      </c>
      <c r="D27" s="3" t="n">
        <v>33</v>
      </c>
      <c r="E27" s="7" t="n">
        <v>0.121212121212121</v>
      </c>
      <c r="F27" s="8" t="n">
        <v>55.8775</v>
      </c>
      <c r="G27" s="9" t="n">
        <v>177.25</v>
      </c>
      <c r="H27" s="10" t="n">
        <v>1.26098730606488</v>
      </c>
      <c r="I27" s="3" t="s">
        <v>57</v>
      </c>
    </row>
    <row r="28" customFormat="false" ht="15" hidden="false" customHeight="false" outlineLevel="0" collapsed="false">
      <c r="A28" s="3" t="s">
        <v>42</v>
      </c>
      <c r="B28" s="3" t="s">
        <v>55</v>
      </c>
      <c r="C28" s="3" t="s">
        <v>28</v>
      </c>
      <c r="D28" s="3" t="n">
        <v>40</v>
      </c>
      <c r="E28" s="7" t="n">
        <v>0.15</v>
      </c>
      <c r="F28" s="8" t="n">
        <v>39.7083333333333</v>
      </c>
      <c r="G28" s="9" t="n">
        <v>266.833333333333</v>
      </c>
      <c r="H28" s="10" t="n">
        <v>0.892879450343535</v>
      </c>
      <c r="I28" s="3" t="s">
        <v>58</v>
      </c>
    </row>
    <row r="29" customFormat="false" ht="15" hidden="false" customHeight="false" outlineLevel="0" collapsed="false">
      <c r="A29" s="3" t="s">
        <v>42</v>
      </c>
      <c r="B29" s="3" t="s">
        <v>59</v>
      </c>
      <c r="C29" s="3" t="s">
        <v>24</v>
      </c>
      <c r="D29" s="3" t="n">
        <v>176</v>
      </c>
      <c r="E29" s="7" t="n">
        <v>0.215909090909091</v>
      </c>
      <c r="F29" s="8" t="n">
        <v>42.7968421052632</v>
      </c>
      <c r="G29" s="9" t="n">
        <v>204.342105263158</v>
      </c>
      <c r="H29" s="10" t="n">
        <v>7.95861429491307</v>
      </c>
      <c r="I29" s="3" t="s">
        <v>60</v>
      </c>
    </row>
    <row r="30" customFormat="false" ht="15" hidden="false" customHeight="false" outlineLevel="0" collapsed="false">
      <c r="A30" s="3" t="s">
        <v>42</v>
      </c>
      <c r="B30" s="3" t="s">
        <v>59</v>
      </c>
      <c r="C30" s="3" t="s">
        <v>26</v>
      </c>
      <c r="D30" s="3" t="n">
        <v>169</v>
      </c>
      <c r="E30" s="7" t="n">
        <v>0.159763313609468</v>
      </c>
      <c r="F30" s="8" t="n">
        <v>47.6025925925926</v>
      </c>
      <c r="G30" s="9" t="n">
        <v>220.37037037037</v>
      </c>
      <c r="H30" s="10" t="n">
        <v>5.83231764705883</v>
      </c>
      <c r="I30" s="3" t="s">
        <v>61</v>
      </c>
    </row>
    <row r="31" customFormat="false" ht="15" hidden="false" customHeight="false" outlineLevel="0" collapsed="false">
      <c r="A31" s="3" t="s">
        <v>42</v>
      </c>
      <c r="B31" s="3" t="s">
        <v>59</v>
      </c>
      <c r="C31" s="3" t="s">
        <v>28</v>
      </c>
      <c r="D31" s="3" t="n">
        <v>177</v>
      </c>
      <c r="E31" s="7" t="n">
        <v>0.146892655367232</v>
      </c>
      <c r="F31" s="8" t="n">
        <v>62.5330769230769</v>
      </c>
      <c r="G31" s="9" t="n">
        <v>255.192307692308</v>
      </c>
      <c r="H31" s="10" t="n">
        <v>6.37111680482291</v>
      </c>
      <c r="I31" s="3" t="s">
        <v>62</v>
      </c>
    </row>
    <row r="32" customFormat="false" ht="15" hidden="false" customHeight="false" outlineLevel="0" collapsed="false">
      <c r="A32" s="3" t="s">
        <v>42</v>
      </c>
      <c r="B32" s="3" t="s">
        <v>63</v>
      </c>
      <c r="C32" s="3" t="s">
        <v>24</v>
      </c>
      <c r="D32" s="3" t="n">
        <v>33</v>
      </c>
      <c r="E32" s="7" t="n">
        <v>0.151515151515152</v>
      </c>
      <c r="F32" s="8" t="n">
        <v>34.806</v>
      </c>
      <c r="G32" s="9" t="n">
        <v>195.6</v>
      </c>
      <c r="H32" s="10" t="n">
        <v>0.889723926380368</v>
      </c>
      <c r="I32" s="3" t="s">
        <v>64</v>
      </c>
    </row>
    <row r="33" customFormat="false" ht="15" hidden="false" customHeight="false" outlineLevel="0" collapsed="false">
      <c r="A33" s="3" t="s">
        <v>42</v>
      </c>
      <c r="B33" s="3" t="s">
        <v>63</v>
      </c>
      <c r="C33" s="3" t="s">
        <v>26</v>
      </c>
      <c r="D33" s="3" t="n">
        <v>26</v>
      </c>
      <c r="E33" s="7" t="n">
        <v>0.153846153846154</v>
      </c>
      <c r="F33" s="8" t="n">
        <v>63.975</v>
      </c>
      <c r="G33" s="9" t="n">
        <v>239</v>
      </c>
      <c r="H33" s="10" t="n">
        <v>1.07071129707113</v>
      </c>
      <c r="I33" s="3" t="s">
        <v>65</v>
      </c>
    </row>
    <row r="34" customFormat="false" ht="15" hidden="false" customHeight="false" outlineLevel="0" collapsed="false">
      <c r="A34" s="3" t="s">
        <v>42</v>
      </c>
      <c r="B34" s="3" t="s">
        <v>63</v>
      </c>
      <c r="C34" s="3" t="s">
        <v>28</v>
      </c>
      <c r="D34" s="3" t="n">
        <v>38</v>
      </c>
      <c r="E34" s="7" t="n">
        <v>0.210526315789474</v>
      </c>
      <c r="F34" s="8" t="n">
        <v>49.66375</v>
      </c>
      <c r="G34" s="9" t="n">
        <v>257.625</v>
      </c>
      <c r="H34" s="10" t="n">
        <v>1.54220281416788</v>
      </c>
      <c r="I34" s="3" t="s">
        <v>66</v>
      </c>
    </row>
    <row r="35" customFormat="false" ht="15" hidden="false" customHeight="false" outlineLevel="0" collapsed="false">
      <c r="A35" s="3" t="s">
        <v>67</v>
      </c>
      <c r="B35" s="3" t="s">
        <v>68</v>
      </c>
      <c r="C35" s="3" t="s">
        <v>24</v>
      </c>
      <c r="D35" s="3" t="n">
        <v>28</v>
      </c>
      <c r="E35" s="7" t="n">
        <v>0.0714285714285714</v>
      </c>
      <c r="F35" s="8" t="n">
        <v>13.275</v>
      </c>
      <c r="G35" s="9" t="n">
        <v>184.5</v>
      </c>
      <c r="H35" s="10" t="n">
        <v>0.14390243902439</v>
      </c>
      <c r="I35" s="3" t="s">
        <v>69</v>
      </c>
    </row>
    <row r="36" customFormat="false" ht="15" hidden="false" customHeight="false" outlineLevel="0" collapsed="false">
      <c r="A36" s="3" t="s">
        <v>67</v>
      </c>
      <c r="B36" s="3" t="s">
        <v>68</v>
      </c>
      <c r="C36" s="3" t="s">
        <v>26</v>
      </c>
      <c r="D36" s="3" t="n">
        <v>31</v>
      </c>
      <c r="E36" s="7" t="n">
        <v>0.129032258064516</v>
      </c>
      <c r="F36" s="8" t="n">
        <v>34.71</v>
      </c>
      <c r="G36" s="9" t="n">
        <v>171.75</v>
      </c>
      <c r="H36" s="10" t="n">
        <v>0.808384279475983</v>
      </c>
      <c r="I36" s="3" t="s">
        <v>70</v>
      </c>
    </row>
    <row r="37" customFormat="false" ht="15" hidden="false" customHeight="false" outlineLevel="0" collapsed="false">
      <c r="A37" s="3" t="s">
        <v>67</v>
      </c>
      <c r="B37" s="3" t="s">
        <v>68</v>
      </c>
      <c r="C37" s="3" t="s">
        <v>28</v>
      </c>
      <c r="D37" s="3" t="n">
        <v>38</v>
      </c>
      <c r="E37" s="7" t="n">
        <v>0.0789473684210526</v>
      </c>
      <c r="F37" s="8" t="n">
        <v>58.5166666666667</v>
      </c>
      <c r="G37" s="9" t="n">
        <v>300.666666666667</v>
      </c>
      <c r="H37" s="10" t="n">
        <v>0.583869179600887</v>
      </c>
      <c r="I37" s="3" t="s">
        <v>71</v>
      </c>
    </row>
    <row r="38" customFormat="false" ht="15" hidden="false" customHeight="false" outlineLevel="0" collapsed="false">
      <c r="A38" s="3" t="s">
        <v>67</v>
      </c>
      <c r="B38" s="3" t="s">
        <v>72</v>
      </c>
      <c r="C38" s="3" t="s">
        <v>24</v>
      </c>
      <c r="D38" s="3" t="n">
        <v>100</v>
      </c>
      <c r="E38" s="7" t="n">
        <v>0.06</v>
      </c>
      <c r="F38" s="8" t="n">
        <v>36.285</v>
      </c>
      <c r="G38" s="9" t="n">
        <v>188.5</v>
      </c>
      <c r="H38" s="10" t="n">
        <v>1.15496021220159</v>
      </c>
      <c r="I38" s="3" t="s">
        <v>73</v>
      </c>
    </row>
    <row r="39" customFormat="false" ht="15" hidden="false" customHeight="false" outlineLevel="0" collapsed="false">
      <c r="A39" s="3" t="s">
        <v>67</v>
      </c>
      <c r="B39" s="3" t="s">
        <v>72</v>
      </c>
      <c r="C39" s="3" t="s">
        <v>26</v>
      </c>
      <c r="D39" s="3" t="n">
        <v>83</v>
      </c>
      <c r="E39" s="7" t="n">
        <v>0.0481927710843374</v>
      </c>
      <c r="F39" s="8" t="n">
        <v>48.405</v>
      </c>
      <c r="G39" s="9" t="n">
        <v>252.25</v>
      </c>
      <c r="H39" s="10" t="n">
        <v>0.767571853320119</v>
      </c>
      <c r="I39" s="3" t="s">
        <v>74</v>
      </c>
    </row>
    <row r="40" customFormat="false" ht="15" hidden="false" customHeight="false" outlineLevel="0" collapsed="false">
      <c r="A40" s="3" t="s">
        <v>67</v>
      </c>
      <c r="B40" s="3" t="s">
        <v>72</v>
      </c>
      <c r="C40" s="3" t="s">
        <v>28</v>
      </c>
      <c r="D40" s="3" t="n">
        <v>104</v>
      </c>
      <c r="E40" s="7" t="n">
        <v>0.0480769230769231</v>
      </c>
      <c r="F40" s="8" t="n">
        <v>44.144</v>
      </c>
      <c r="G40" s="9" t="n">
        <v>267.6</v>
      </c>
      <c r="H40" s="10" t="n">
        <v>0.824813153961136</v>
      </c>
      <c r="I40" s="3" t="s">
        <v>75</v>
      </c>
    </row>
    <row r="41" customFormat="false" ht="15" hidden="false" customHeight="false" outlineLevel="0" collapsed="false">
      <c r="A41" s="3" t="s">
        <v>67</v>
      </c>
      <c r="B41" s="3" t="s">
        <v>76</v>
      </c>
      <c r="C41" s="3" t="s">
        <v>24</v>
      </c>
      <c r="D41" s="3" t="n">
        <v>227</v>
      </c>
      <c r="E41" s="7" t="n">
        <v>0.383259911894273</v>
      </c>
      <c r="F41" s="8" t="n">
        <v>42.6467816091954</v>
      </c>
      <c r="G41" s="9" t="n">
        <v>188.781609195402</v>
      </c>
      <c r="H41" s="10" t="n">
        <v>19.6537682659523</v>
      </c>
      <c r="I41" s="3" t="s">
        <v>77</v>
      </c>
    </row>
    <row r="42" customFormat="false" ht="15" hidden="false" customHeight="false" outlineLevel="0" collapsed="false">
      <c r="A42" s="3" t="s">
        <v>67</v>
      </c>
      <c r="B42" s="3" t="s">
        <v>76</v>
      </c>
      <c r="C42" s="3" t="s">
        <v>26</v>
      </c>
      <c r="D42" s="3" t="n">
        <v>196</v>
      </c>
      <c r="E42" s="7" t="n">
        <v>0.321428571428572</v>
      </c>
      <c r="F42" s="8" t="n">
        <v>54.1201587301587</v>
      </c>
      <c r="G42" s="9" t="n">
        <v>223.444444444445</v>
      </c>
      <c r="H42" s="10" t="n">
        <v>15.2591397314769</v>
      </c>
      <c r="I42" s="3" t="s">
        <v>78</v>
      </c>
    </row>
    <row r="43" customFormat="false" ht="15" hidden="false" customHeight="false" outlineLevel="0" collapsed="false">
      <c r="A43" s="3" t="s">
        <v>67</v>
      </c>
      <c r="B43" s="3" t="s">
        <v>76</v>
      </c>
      <c r="C43" s="3" t="s">
        <v>28</v>
      </c>
      <c r="D43" s="3" t="n">
        <v>194</v>
      </c>
      <c r="E43" s="7" t="n">
        <v>0.298969072164948</v>
      </c>
      <c r="F43" s="8" t="n">
        <v>56.7734482758621</v>
      </c>
      <c r="G43" s="9" t="n">
        <v>242.327586206897</v>
      </c>
      <c r="H43" s="10" t="n">
        <v>13.5884653148346</v>
      </c>
      <c r="I43" s="3" t="s">
        <v>79</v>
      </c>
    </row>
    <row r="44" customFormat="false" ht="15" hidden="false" customHeight="false" outlineLevel="0" collapsed="false">
      <c r="A44" s="3" t="s">
        <v>67</v>
      </c>
      <c r="B44" s="3" t="s">
        <v>80</v>
      </c>
      <c r="C44" s="3" t="s">
        <v>24</v>
      </c>
      <c r="D44" s="3" t="n">
        <v>55</v>
      </c>
      <c r="E44" s="7" t="n">
        <v>0.0545454545454545</v>
      </c>
      <c r="F44" s="8" t="n">
        <v>68.5</v>
      </c>
      <c r="G44" s="9" t="n">
        <v>173.333333333333</v>
      </c>
      <c r="H44" s="10" t="n">
        <v>1.18557692307692</v>
      </c>
      <c r="I44" s="3" t="s">
        <v>81</v>
      </c>
    </row>
    <row r="45" customFormat="false" ht="15" hidden="false" customHeight="false" outlineLevel="0" collapsed="false">
      <c r="A45" s="3" t="s">
        <v>67</v>
      </c>
      <c r="B45" s="3" t="s">
        <v>80</v>
      </c>
      <c r="C45" s="3" t="s">
        <v>26</v>
      </c>
      <c r="D45" s="3" t="n">
        <v>66</v>
      </c>
      <c r="E45" s="7" t="n">
        <v>0.0454545454545455</v>
      </c>
      <c r="F45" s="8" t="n">
        <v>52.64</v>
      </c>
      <c r="G45" s="9" t="n">
        <v>188.666666666667</v>
      </c>
      <c r="H45" s="10" t="n">
        <v>0.837031802120142</v>
      </c>
      <c r="I45" s="3" t="s">
        <v>82</v>
      </c>
    </row>
    <row r="46" customFormat="false" ht="15" hidden="false" customHeight="false" outlineLevel="0" collapsed="false">
      <c r="A46" s="3" t="s">
        <v>67</v>
      </c>
      <c r="B46" s="3" t="s">
        <v>80</v>
      </c>
      <c r="C46" s="3" t="s">
        <v>28</v>
      </c>
      <c r="D46" s="3" t="n">
        <v>96</v>
      </c>
      <c r="E46" s="7" t="n">
        <v>0.0729166666666667</v>
      </c>
      <c r="F46" s="8" t="n">
        <v>58.6942857142857</v>
      </c>
      <c r="G46" s="9" t="n">
        <v>216.428571428571</v>
      </c>
      <c r="H46" s="10" t="n">
        <v>1.89836303630363</v>
      </c>
      <c r="I46" s="3" t="s">
        <v>83</v>
      </c>
    </row>
    <row r="47" customFormat="false" ht="15" hidden="false" customHeight="false" outlineLevel="0" collapsed="false">
      <c r="A47" s="3" t="s">
        <v>84</v>
      </c>
      <c r="B47" s="3" t="s">
        <v>85</v>
      </c>
      <c r="C47" s="3" t="s">
        <v>24</v>
      </c>
      <c r="D47" s="3" t="n">
        <v>45</v>
      </c>
      <c r="E47" s="7" t="n">
        <v>0.155555555555556</v>
      </c>
      <c r="F47" s="8" t="n">
        <v>31.6628571428571</v>
      </c>
      <c r="G47" s="9" t="n">
        <v>190.428571428571</v>
      </c>
      <c r="H47" s="10" t="n">
        <v>1.16390097524381</v>
      </c>
      <c r="I47" s="3" t="s">
        <v>86</v>
      </c>
    </row>
    <row r="48" customFormat="false" ht="15" hidden="false" customHeight="false" outlineLevel="0" collapsed="false">
      <c r="A48" s="3" t="s">
        <v>84</v>
      </c>
      <c r="B48" s="3" t="s">
        <v>85</v>
      </c>
      <c r="C48" s="3" t="s">
        <v>26</v>
      </c>
      <c r="D48" s="3" t="n">
        <v>84</v>
      </c>
      <c r="E48" s="7" t="n">
        <v>0.226190476190476</v>
      </c>
      <c r="F48" s="8" t="n">
        <v>34.8252631578947</v>
      </c>
      <c r="G48" s="9" t="n">
        <v>191</v>
      </c>
      <c r="H48" s="10" t="n">
        <v>3.46429319371728</v>
      </c>
      <c r="I48" s="3" t="s">
        <v>87</v>
      </c>
    </row>
    <row r="49" customFormat="false" ht="15" hidden="false" customHeight="false" outlineLevel="0" collapsed="false">
      <c r="A49" s="3" t="s">
        <v>84</v>
      </c>
      <c r="B49" s="3" t="s">
        <v>85</v>
      </c>
      <c r="C49" s="3" t="s">
        <v>28</v>
      </c>
      <c r="D49" s="3" t="n">
        <v>71</v>
      </c>
      <c r="E49" s="7" t="n">
        <v>0.126760563380282</v>
      </c>
      <c r="F49" s="8" t="n">
        <v>66.2522222222222</v>
      </c>
      <c r="G49" s="9" t="n">
        <v>211.777777777778</v>
      </c>
      <c r="H49" s="10" t="n">
        <v>2.81554564533054</v>
      </c>
      <c r="I49" s="3" t="s">
        <v>88</v>
      </c>
    </row>
    <row r="50" customFormat="false" ht="15" hidden="false" customHeight="false" outlineLevel="0" collapsed="false">
      <c r="A50" s="3" t="s">
        <v>84</v>
      </c>
      <c r="B50" s="3" t="s">
        <v>89</v>
      </c>
      <c r="C50" s="3" t="s">
        <v>24</v>
      </c>
      <c r="D50" s="3" t="n">
        <v>89</v>
      </c>
      <c r="E50" s="7" t="n">
        <v>0.0898876404494382</v>
      </c>
      <c r="F50" s="8" t="n">
        <v>44.10625</v>
      </c>
      <c r="G50" s="9" t="n">
        <v>141.25</v>
      </c>
      <c r="H50" s="10" t="n">
        <v>2.49805309734513</v>
      </c>
      <c r="I50" s="3" t="s">
        <v>90</v>
      </c>
    </row>
    <row r="51" customFormat="false" ht="15" hidden="false" customHeight="false" outlineLevel="0" collapsed="false">
      <c r="A51" s="3" t="s">
        <v>84</v>
      </c>
      <c r="B51" s="3" t="s">
        <v>89</v>
      </c>
      <c r="C51" s="3" t="s">
        <v>26</v>
      </c>
      <c r="D51" s="3" t="n">
        <v>57</v>
      </c>
      <c r="E51" s="7" t="n">
        <v>0.105263157894737</v>
      </c>
      <c r="F51" s="8" t="n">
        <v>66.7733333333333</v>
      </c>
      <c r="G51" s="9" t="n">
        <v>293.166666666667</v>
      </c>
      <c r="H51" s="10" t="n">
        <v>1.36659465605458</v>
      </c>
      <c r="I51" s="3" t="s">
        <v>91</v>
      </c>
    </row>
    <row r="52" customFormat="false" ht="15" hidden="false" customHeight="false" outlineLevel="0" collapsed="false">
      <c r="A52" s="3" t="s">
        <v>84</v>
      </c>
      <c r="B52" s="3" t="s">
        <v>89</v>
      </c>
      <c r="C52" s="3" t="s">
        <v>28</v>
      </c>
      <c r="D52" s="3" t="n">
        <v>65</v>
      </c>
      <c r="E52" s="7" t="n">
        <v>0.0923076923076923</v>
      </c>
      <c r="F52" s="8" t="n">
        <v>88.515</v>
      </c>
      <c r="G52" s="9" t="n">
        <v>245.166666666667</v>
      </c>
      <c r="H52" s="10" t="n">
        <v>2.16624065261727</v>
      </c>
      <c r="I52" s="3" t="s">
        <v>92</v>
      </c>
    </row>
    <row r="53" customFormat="false" ht="15" hidden="false" customHeight="false" outlineLevel="0" collapsed="false">
      <c r="A53" s="3" t="s">
        <v>84</v>
      </c>
      <c r="B53" s="3" t="s">
        <v>93</v>
      </c>
      <c r="C53" s="3" t="s">
        <v>24</v>
      </c>
      <c r="D53" s="3" t="n">
        <v>225</v>
      </c>
      <c r="E53" s="7" t="n">
        <v>0.315555555555556</v>
      </c>
      <c r="F53" s="8" t="n">
        <v>41.34</v>
      </c>
      <c r="G53" s="9" t="n">
        <v>188.647887323944</v>
      </c>
      <c r="H53" s="10" t="n">
        <v>15.5588278333582</v>
      </c>
      <c r="I53" s="3" t="s">
        <v>94</v>
      </c>
    </row>
    <row r="54" customFormat="false" ht="15" hidden="false" customHeight="false" outlineLevel="0" collapsed="false">
      <c r="A54" s="3" t="s">
        <v>84</v>
      </c>
      <c r="B54" s="3" t="s">
        <v>93</v>
      </c>
      <c r="C54" s="3" t="s">
        <v>26</v>
      </c>
      <c r="D54" s="3" t="n">
        <v>200</v>
      </c>
      <c r="E54" s="7" t="n">
        <v>0.215</v>
      </c>
      <c r="F54" s="8" t="n">
        <v>56.0179069767442</v>
      </c>
      <c r="G54" s="9" t="n">
        <v>215.209302325581</v>
      </c>
      <c r="H54" s="10" t="n">
        <v>11.1926853252648</v>
      </c>
      <c r="I54" s="3" t="s">
        <v>95</v>
      </c>
    </row>
    <row r="55" customFormat="false" ht="15" hidden="false" customHeight="false" outlineLevel="0" collapsed="false">
      <c r="A55" s="3" t="s">
        <v>84</v>
      </c>
      <c r="B55" s="3" t="s">
        <v>93</v>
      </c>
      <c r="C55" s="3" t="s">
        <v>28</v>
      </c>
      <c r="D55" s="3" t="n">
        <v>250</v>
      </c>
      <c r="E55" s="7" t="n">
        <v>0.192</v>
      </c>
      <c r="F55" s="8" t="n">
        <v>49.4702083333333</v>
      </c>
      <c r="G55" s="9" t="n">
        <v>244</v>
      </c>
      <c r="H55" s="10" t="n">
        <v>9.73184426229508</v>
      </c>
      <c r="I55" s="3" t="s">
        <v>96</v>
      </c>
    </row>
    <row r="56" customFormat="false" ht="15" hidden="false" customHeight="false" outlineLevel="0" collapsed="false">
      <c r="A56" s="3" t="s">
        <v>84</v>
      </c>
      <c r="B56" s="3" t="s">
        <v>97</v>
      </c>
      <c r="C56" s="3" t="s">
        <v>24</v>
      </c>
      <c r="D56" s="3" t="n">
        <v>51</v>
      </c>
      <c r="E56" s="7" t="n">
        <v>0.235294117647059</v>
      </c>
      <c r="F56" s="8" t="n">
        <v>54.2</v>
      </c>
      <c r="G56" s="9" t="n">
        <v>215.583333333333</v>
      </c>
      <c r="H56" s="10" t="n">
        <v>3.01693080788558</v>
      </c>
      <c r="I56" s="3" t="s">
        <v>98</v>
      </c>
    </row>
    <row r="57" customFormat="false" ht="15" hidden="false" customHeight="false" outlineLevel="0" collapsed="false">
      <c r="A57" s="3" t="s">
        <v>84</v>
      </c>
      <c r="B57" s="3" t="s">
        <v>97</v>
      </c>
      <c r="C57" s="3" t="s">
        <v>26</v>
      </c>
      <c r="D57" s="3" t="n">
        <v>35</v>
      </c>
      <c r="E57" s="7" t="n">
        <v>0.171428571428571</v>
      </c>
      <c r="F57" s="8" t="n">
        <v>71.4766666666667</v>
      </c>
      <c r="G57" s="9" t="n">
        <v>282.833333333333</v>
      </c>
      <c r="H57" s="10" t="n">
        <v>1.51629935179729</v>
      </c>
      <c r="I57" s="3" t="s">
        <v>99</v>
      </c>
    </row>
    <row r="58" customFormat="false" ht="15" hidden="false" customHeight="false" outlineLevel="0" collapsed="false">
      <c r="A58" s="3" t="s">
        <v>84</v>
      </c>
      <c r="B58" s="3" t="s">
        <v>97</v>
      </c>
      <c r="C58" s="3" t="s">
        <v>28</v>
      </c>
      <c r="D58" s="3" t="n">
        <v>46</v>
      </c>
      <c r="E58" s="7" t="n">
        <v>0.217391304347826</v>
      </c>
      <c r="F58" s="8" t="n">
        <v>59.806</v>
      </c>
      <c r="G58" s="9" t="n">
        <v>272.1</v>
      </c>
      <c r="H58" s="10" t="n">
        <v>2.19794193311283</v>
      </c>
      <c r="I58" s="3" t="s">
        <v>100</v>
      </c>
    </row>
    <row r="59" customFormat="false" ht="15" hidden="false" customHeight="false" outlineLevel="0" collapsed="false">
      <c r="A59" s="3" t="s">
        <v>101</v>
      </c>
      <c r="B59" s="3" t="s">
        <v>102</v>
      </c>
      <c r="C59" s="3" t="s">
        <v>24</v>
      </c>
      <c r="D59" s="3" t="n">
        <v>305</v>
      </c>
      <c r="E59" s="7" t="n">
        <v>0.259016393442623</v>
      </c>
      <c r="F59" s="8" t="n">
        <v>41.260253164557</v>
      </c>
      <c r="G59" s="9" t="n">
        <v>187.050632911392</v>
      </c>
      <c r="H59" s="10" t="n">
        <v>17.4260837788455</v>
      </c>
      <c r="I59" s="3" t="s">
        <v>103</v>
      </c>
    </row>
    <row r="60" customFormat="false" ht="15" hidden="false" customHeight="false" outlineLevel="0" collapsed="false">
      <c r="A60" s="3" t="s">
        <v>101</v>
      </c>
      <c r="B60" s="3" t="s">
        <v>102</v>
      </c>
      <c r="C60" s="3" t="s">
        <v>26</v>
      </c>
      <c r="D60" s="3" t="n">
        <v>272</v>
      </c>
      <c r="E60" s="7" t="n">
        <v>0.202205882352941</v>
      </c>
      <c r="F60" s="8" t="n">
        <v>54.0116363636364</v>
      </c>
      <c r="G60" s="9" t="n">
        <v>227.836363636364</v>
      </c>
      <c r="H60" s="10" t="n">
        <v>13.0384805681909</v>
      </c>
      <c r="I60" s="3" t="s">
        <v>104</v>
      </c>
    </row>
    <row r="61" customFormat="false" ht="15" hidden="false" customHeight="false" outlineLevel="0" collapsed="false">
      <c r="A61" s="3" t="s">
        <v>101</v>
      </c>
      <c r="B61" s="3" t="s">
        <v>102</v>
      </c>
      <c r="C61" s="3" t="s">
        <v>28</v>
      </c>
      <c r="D61" s="3" t="n">
        <v>315</v>
      </c>
      <c r="E61" s="7" t="n">
        <v>0.168253968253968</v>
      </c>
      <c r="F61" s="8" t="n">
        <v>59.9494339622641</v>
      </c>
      <c r="G61" s="9" t="n">
        <v>241.660377358491</v>
      </c>
      <c r="H61" s="10" t="n">
        <v>13.1478732042474</v>
      </c>
      <c r="I61" s="3" t="s">
        <v>105</v>
      </c>
    </row>
    <row r="62" customFormat="false" ht="15" hidden="false" customHeight="false" outlineLevel="0" collapsed="false">
      <c r="A62" s="3" t="s">
        <v>101</v>
      </c>
      <c r="B62" s="3" t="s">
        <v>106</v>
      </c>
      <c r="C62" s="3" t="s">
        <v>24</v>
      </c>
      <c r="D62" s="3" t="n">
        <v>47</v>
      </c>
      <c r="E62" s="7" t="n">
        <v>0.234042553191489</v>
      </c>
      <c r="F62" s="8" t="n">
        <v>57.1354545454545</v>
      </c>
      <c r="G62" s="9" t="n">
        <v>194.363636363636</v>
      </c>
      <c r="H62" s="10" t="n">
        <v>3.23357811038354</v>
      </c>
      <c r="I62" s="3" t="s">
        <v>107</v>
      </c>
    </row>
    <row r="63" customFormat="false" ht="15" hidden="false" customHeight="false" outlineLevel="0" collapsed="false">
      <c r="A63" s="3" t="s">
        <v>101</v>
      </c>
      <c r="B63" s="3" t="s">
        <v>106</v>
      </c>
      <c r="C63" s="3" t="s">
        <v>26</v>
      </c>
      <c r="D63" s="3" t="n">
        <v>52</v>
      </c>
      <c r="E63" s="7" t="n">
        <v>0.192307692307692</v>
      </c>
      <c r="F63" s="8" t="n">
        <v>63.929</v>
      </c>
      <c r="G63" s="9" t="n">
        <v>207</v>
      </c>
      <c r="H63" s="10" t="n">
        <v>3.08835748792271</v>
      </c>
      <c r="I63" s="3" t="s">
        <v>108</v>
      </c>
    </row>
    <row r="64" customFormat="false" ht="15" hidden="false" customHeight="false" outlineLevel="0" collapsed="false">
      <c r="A64" s="3" t="s">
        <v>101</v>
      </c>
      <c r="B64" s="3" t="s">
        <v>106</v>
      </c>
      <c r="C64" s="3" t="s">
        <v>28</v>
      </c>
      <c r="D64" s="3" t="n">
        <v>43</v>
      </c>
      <c r="E64" s="7" t="n">
        <v>0.186046511627907</v>
      </c>
      <c r="F64" s="8" t="n">
        <v>55.36125</v>
      </c>
      <c r="G64" s="9" t="n">
        <v>259.5</v>
      </c>
      <c r="H64" s="10" t="n">
        <v>1.70670520231214</v>
      </c>
      <c r="I64" s="3" t="s">
        <v>109</v>
      </c>
    </row>
    <row r="65" customFormat="false" ht="15" hidden="false" customHeight="false" outlineLevel="0" collapsed="false">
      <c r="A65" s="3" t="s">
        <v>101</v>
      </c>
      <c r="B65" s="3" t="s">
        <v>110</v>
      </c>
      <c r="C65" s="3" t="s">
        <v>24</v>
      </c>
      <c r="D65" s="3" t="n">
        <v>58</v>
      </c>
      <c r="E65" s="7" t="n">
        <v>0.137931034482759</v>
      </c>
      <c r="F65" s="8" t="n">
        <v>33.9975</v>
      </c>
      <c r="G65" s="9" t="n">
        <v>191.125</v>
      </c>
      <c r="H65" s="10" t="n">
        <v>1.42304774362328</v>
      </c>
      <c r="I65" s="3" t="s">
        <v>111</v>
      </c>
    </row>
    <row r="66" customFormat="false" ht="15" hidden="false" customHeight="false" outlineLevel="0" collapsed="false">
      <c r="A66" s="3" t="s">
        <v>101</v>
      </c>
      <c r="B66" s="3" t="s">
        <v>110</v>
      </c>
      <c r="C66" s="3" t="s">
        <v>26</v>
      </c>
      <c r="D66" s="3" t="n">
        <v>52</v>
      </c>
      <c r="E66" s="7" t="n">
        <v>0.173076923076923</v>
      </c>
      <c r="F66" s="8" t="n">
        <v>32.2244444444444</v>
      </c>
      <c r="G66" s="9" t="n">
        <v>193.111111111111</v>
      </c>
      <c r="H66" s="10" t="n">
        <v>1.50182968929804</v>
      </c>
      <c r="I66" s="3" t="s">
        <v>112</v>
      </c>
    </row>
    <row r="67" customFormat="false" ht="15" hidden="false" customHeight="false" outlineLevel="0" collapsed="false">
      <c r="A67" s="3" t="s">
        <v>101</v>
      </c>
      <c r="B67" s="3" t="s">
        <v>110</v>
      </c>
      <c r="C67" s="3" t="s">
        <v>28</v>
      </c>
      <c r="D67" s="3" t="n">
        <v>74</v>
      </c>
      <c r="E67" s="7" t="n">
        <v>0.162162162162162</v>
      </c>
      <c r="F67" s="8" t="n">
        <v>39.9816666666667</v>
      </c>
      <c r="G67" s="9" t="n">
        <v>243.833333333333</v>
      </c>
      <c r="H67" s="10" t="n">
        <v>1.96765550239235</v>
      </c>
      <c r="I67" s="3" t="s">
        <v>113</v>
      </c>
    </row>
    <row r="68" customFormat="false" ht="15" hidden="false" customHeight="false" outlineLevel="0" collapsed="false">
      <c r="A68" s="3" t="s">
        <v>114</v>
      </c>
      <c r="B68" s="3" t="s">
        <v>115</v>
      </c>
      <c r="C68" s="3" t="s">
        <v>24</v>
      </c>
      <c r="D68" s="3" t="n">
        <v>103</v>
      </c>
      <c r="E68" s="7" t="n">
        <v>0.446601941747573</v>
      </c>
      <c r="F68" s="8" t="n">
        <v>60.0508695652174</v>
      </c>
      <c r="G68" s="9" t="n">
        <v>201.760869565217</v>
      </c>
      <c r="H68" s="10" t="n">
        <v>13.6911582803577</v>
      </c>
      <c r="I68" s="3" t="s">
        <v>116</v>
      </c>
    </row>
    <row r="69" customFormat="false" ht="15" hidden="false" customHeight="false" outlineLevel="0" collapsed="false">
      <c r="A69" s="3" t="s">
        <v>114</v>
      </c>
      <c r="B69" s="3" t="s">
        <v>115</v>
      </c>
      <c r="C69" s="3" t="s">
        <v>26</v>
      </c>
      <c r="D69" s="3" t="n">
        <v>72</v>
      </c>
      <c r="E69" s="7" t="n">
        <v>0.277777777777778</v>
      </c>
      <c r="F69" s="8" t="n">
        <v>86.1765</v>
      </c>
      <c r="G69" s="9" t="n">
        <v>241.05</v>
      </c>
      <c r="H69" s="10" t="n">
        <v>7.15009334163037</v>
      </c>
      <c r="I69" s="3" t="s">
        <v>117</v>
      </c>
    </row>
    <row r="70" customFormat="false" ht="15" hidden="false" customHeight="false" outlineLevel="0" collapsed="false">
      <c r="A70" s="3" t="s">
        <v>114</v>
      </c>
      <c r="B70" s="3" t="s">
        <v>115</v>
      </c>
      <c r="C70" s="3" t="s">
        <v>28</v>
      </c>
      <c r="D70" s="3" t="n">
        <v>81</v>
      </c>
      <c r="E70" s="7" t="n">
        <v>0.259259259259259</v>
      </c>
      <c r="F70" s="8" t="n">
        <v>82.24</v>
      </c>
      <c r="G70" s="9" t="n">
        <v>263.190476190476</v>
      </c>
      <c r="H70" s="10" t="n">
        <v>6.56193956938665</v>
      </c>
      <c r="I70" s="3" t="s">
        <v>118</v>
      </c>
    </row>
    <row r="71" customFormat="false" ht="15" hidden="false" customHeight="false" outlineLevel="0" collapsed="false">
      <c r="A71" s="3" t="s">
        <v>114</v>
      </c>
      <c r="B71" s="3" t="s">
        <v>119</v>
      </c>
      <c r="C71" s="3" t="s">
        <v>24</v>
      </c>
      <c r="D71" s="3" t="n">
        <v>166</v>
      </c>
      <c r="E71" s="7" t="n">
        <v>0.180722891566265</v>
      </c>
      <c r="F71" s="8" t="n">
        <v>31.864</v>
      </c>
      <c r="G71" s="9" t="n">
        <v>181.7</v>
      </c>
      <c r="H71" s="10" t="n">
        <v>5.2609796367639</v>
      </c>
      <c r="I71" s="3" t="s">
        <v>120</v>
      </c>
    </row>
    <row r="72" customFormat="false" ht="15" hidden="false" customHeight="false" outlineLevel="0" collapsed="false">
      <c r="A72" s="3" t="s">
        <v>114</v>
      </c>
      <c r="B72" s="3" t="s">
        <v>119</v>
      </c>
      <c r="C72" s="3" t="s">
        <v>26</v>
      </c>
      <c r="D72" s="3" t="n">
        <v>166</v>
      </c>
      <c r="E72" s="7" t="n">
        <v>0.240963855421687</v>
      </c>
      <c r="F72" s="8" t="n">
        <v>43.9135</v>
      </c>
      <c r="G72" s="9" t="n">
        <v>215.975</v>
      </c>
      <c r="H72" s="10" t="n">
        <v>8.13307095728672</v>
      </c>
      <c r="I72" s="3" t="s">
        <v>121</v>
      </c>
    </row>
    <row r="73" customFormat="false" ht="15" hidden="false" customHeight="false" outlineLevel="0" collapsed="false">
      <c r="A73" s="3" t="s">
        <v>114</v>
      </c>
      <c r="B73" s="3" t="s">
        <v>119</v>
      </c>
      <c r="C73" s="3" t="s">
        <v>28</v>
      </c>
      <c r="D73" s="3" t="n">
        <v>148</v>
      </c>
      <c r="E73" s="7" t="n">
        <v>0.195945945945946</v>
      </c>
      <c r="F73" s="8" t="n">
        <v>59.6441379310345</v>
      </c>
      <c r="G73" s="9" t="n">
        <v>227.275862068966</v>
      </c>
      <c r="H73" s="10" t="n">
        <v>7.61048702776513</v>
      </c>
      <c r="I73" s="3" t="s">
        <v>122</v>
      </c>
    </row>
    <row r="74" customFormat="false" ht="15" hidden="false" customHeight="false" outlineLevel="0" collapsed="false">
      <c r="A74" s="3" t="s">
        <v>114</v>
      </c>
      <c r="B74" s="3" t="s">
        <v>123</v>
      </c>
      <c r="C74" s="3" t="s">
        <v>24</v>
      </c>
      <c r="D74" s="3" t="n">
        <v>141</v>
      </c>
      <c r="E74" s="7" t="n">
        <v>0.156028368794326</v>
      </c>
      <c r="F74" s="8" t="n">
        <v>20.0804545454546</v>
      </c>
      <c r="G74" s="9" t="n">
        <v>168.727272727273</v>
      </c>
      <c r="H74" s="10" t="n">
        <v>2.61824892241379</v>
      </c>
      <c r="I74" s="3" t="s">
        <v>124</v>
      </c>
    </row>
    <row r="75" customFormat="false" ht="15" hidden="false" customHeight="false" outlineLevel="0" collapsed="false">
      <c r="A75" s="3" t="s">
        <v>114</v>
      </c>
      <c r="B75" s="3" t="s">
        <v>123</v>
      </c>
      <c r="C75" s="3" t="s">
        <v>26</v>
      </c>
      <c r="D75" s="3" t="n">
        <v>138</v>
      </c>
      <c r="E75" s="7" t="n">
        <v>0.101449275362319</v>
      </c>
      <c r="F75" s="8" t="n">
        <v>29.9914285714286</v>
      </c>
      <c r="G75" s="9" t="n">
        <v>205.642857142857</v>
      </c>
      <c r="H75" s="10" t="n">
        <v>2.04179228898923</v>
      </c>
      <c r="I75" s="3" t="s">
        <v>125</v>
      </c>
    </row>
    <row r="76" customFormat="false" ht="15" hidden="false" customHeight="false" outlineLevel="0" collapsed="false">
      <c r="A76" s="3" t="s">
        <v>114</v>
      </c>
      <c r="B76" s="3" t="s">
        <v>123</v>
      </c>
      <c r="C76" s="3" t="s">
        <v>28</v>
      </c>
      <c r="D76" s="3" t="n">
        <v>203</v>
      </c>
      <c r="E76" s="7" t="n">
        <v>0.113300492610837</v>
      </c>
      <c r="F76" s="8" t="n">
        <v>27.9682608695652</v>
      </c>
      <c r="G76" s="9" t="n">
        <v>247.478260869565</v>
      </c>
      <c r="H76" s="10" t="n">
        <v>2.59929901616304</v>
      </c>
      <c r="I76" s="3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3" t="s">
        <v>22</v>
      </c>
      <c r="B1" s="3"/>
      <c r="C1" s="3" t="s">
        <v>22</v>
      </c>
      <c r="D1" s="3" t="s">
        <v>42</v>
      </c>
      <c r="E1" s="3" t="s">
        <v>67</v>
      </c>
      <c r="F1" s="3" t="s">
        <v>84</v>
      </c>
      <c r="G1" s="3" t="s">
        <v>101</v>
      </c>
      <c r="H1" s="3" t="s">
        <v>114</v>
      </c>
    </row>
    <row r="2" customFormat="false" ht="15" hidden="false" customHeight="false" outlineLevel="0" collapsed="false">
      <c r="A2" s="3" t="s">
        <v>42</v>
      </c>
      <c r="B2" s="3"/>
      <c r="C2" s="3" t="s">
        <v>23</v>
      </c>
      <c r="D2" s="3" t="s">
        <v>43</v>
      </c>
      <c r="E2" s="3" t="s">
        <v>68</v>
      </c>
      <c r="F2" s="3" t="s">
        <v>85</v>
      </c>
      <c r="G2" s="3" t="s">
        <v>102</v>
      </c>
      <c r="H2" s="3" t="s">
        <v>115</v>
      </c>
    </row>
    <row r="3" customFormat="false" ht="15" hidden="false" customHeight="false" outlineLevel="0" collapsed="false">
      <c r="A3" s="3" t="s">
        <v>67</v>
      </c>
      <c r="B3" s="3"/>
      <c r="C3" s="3" t="s">
        <v>30</v>
      </c>
      <c r="D3" s="3" t="s">
        <v>47</v>
      </c>
      <c r="E3" s="3" t="s">
        <v>72</v>
      </c>
      <c r="F3" s="3" t="s">
        <v>89</v>
      </c>
      <c r="G3" s="3" t="s">
        <v>106</v>
      </c>
      <c r="H3" s="3" t="s">
        <v>119</v>
      </c>
    </row>
    <row r="4" customFormat="false" ht="15" hidden="false" customHeight="false" outlineLevel="0" collapsed="false">
      <c r="A4" s="3" t="s">
        <v>84</v>
      </c>
      <c r="B4" s="3"/>
      <c r="C4" s="3" t="s">
        <v>34</v>
      </c>
      <c r="D4" s="3" t="s">
        <v>51</v>
      </c>
      <c r="E4" s="3" t="s">
        <v>76</v>
      </c>
      <c r="F4" s="3" t="s">
        <v>93</v>
      </c>
      <c r="G4" s="3" t="s">
        <v>110</v>
      </c>
      <c r="H4" s="3" t="s">
        <v>123</v>
      </c>
    </row>
    <row r="5" customFormat="false" ht="15" hidden="false" customHeight="false" outlineLevel="0" collapsed="false">
      <c r="A5" s="3" t="s">
        <v>101</v>
      </c>
      <c r="B5" s="3"/>
      <c r="C5" s="3" t="s">
        <v>38</v>
      </c>
      <c r="D5" s="3" t="s">
        <v>55</v>
      </c>
      <c r="E5" s="3" t="s">
        <v>80</v>
      </c>
      <c r="F5" s="3" t="s">
        <v>97</v>
      </c>
      <c r="G5" s="3"/>
      <c r="H5" s="3"/>
    </row>
    <row r="6" customFormat="false" ht="15" hidden="false" customHeight="false" outlineLevel="0" collapsed="false">
      <c r="A6" s="3" t="s">
        <v>114</v>
      </c>
      <c r="B6" s="3"/>
      <c r="C6" s="3"/>
      <c r="D6" s="3" t="s">
        <v>59</v>
      </c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 t="s">
        <v>63</v>
      </c>
      <c r="E7" s="3"/>
      <c r="F7" s="3"/>
      <c r="G7" s="3"/>
      <c r="H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9" min="3" style="0" width="12"/>
  </cols>
  <sheetData>
    <row r="1" customFormat="false" ht="16.15" hidden="false" customHeight="false" outlineLevel="0" collapsed="false">
      <c r="A1" s="4" t="s">
        <v>127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5" t="s">
        <v>128</v>
      </c>
      <c r="B2" s="3"/>
      <c r="C2" s="3"/>
      <c r="D2" s="3"/>
      <c r="E2" s="3"/>
      <c r="F2" s="3"/>
      <c r="G2" s="3"/>
      <c r="H2" s="3"/>
      <c r="I2" s="3"/>
    </row>
    <row r="3" customFormat="false" ht="35.05" hidden="false" customHeight="false" outlineLevel="0" collapsed="false">
      <c r="A3" s="6" t="s">
        <v>129</v>
      </c>
      <c r="B3" s="6" t="s">
        <v>130</v>
      </c>
      <c r="C3" s="6" t="s">
        <v>131</v>
      </c>
      <c r="D3" s="6" t="s">
        <v>132</v>
      </c>
      <c r="E3" s="6" t="s">
        <v>133</v>
      </c>
      <c r="F3" s="6" t="s">
        <v>134</v>
      </c>
      <c r="G3" s="6" t="s">
        <v>135</v>
      </c>
      <c r="H3" s="6" t="s">
        <v>136</v>
      </c>
      <c r="I3" s="6" t="s">
        <v>137</v>
      </c>
    </row>
    <row r="4" customFormat="false" ht="15" hidden="false" customHeight="false" outlineLevel="0" collapsed="false">
      <c r="A4" s="3" t="s">
        <v>138</v>
      </c>
      <c r="B4" s="10" t="n">
        <v>14.39</v>
      </c>
      <c r="C4" s="10" t="n">
        <v>28.21</v>
      </c>
      <c r="D4" s="10" t="n">
        <v>13.51</v>
      </c>
      <c r="E4" s="11" t="n">
        <v>1.96038915913829</v>
      </c>
      <c r="F4" s="12" t="n">
        <v>0.447610776320454</v>
      </c>
      <c r="G4" s="10" t="n">
        <v>12.6271</v>
      </c>
      <c r="H4" s="11"/>
      <c r="I4" s="12" t="n">
        <v>0.877491313412092</v>
      </c>
    </row>
    <row r="5" customFormat="false" ht="15" hidden="false" customHeight="false" outlineLevel="0" collapsed="false">
      <c r="A5" s="3" t="s">
        <v>139</v>
      </c>
      <c r="B5" s="10" t="n">
        <v>15.16</v>
      </c>
      <c r="C5" s="10" t="n">
        <v>26.59</v>
      </c>
      <c r="D5" s="10" t="n">
        <v>9.31</v>
      </c>
      <c r="E5" s="11" t="n">
        <v>1.75395778364116</v>
      </c>
      <c r="F5" s="12" t="n">
        <v>0.34846558856713</v>
      </c>
      <c r="G5" s="10" t="n">
        <v>9.2657</v>
      </c>
      <c r="H5" s="11"/>
      <c r="I5" s="12" t="n">
        <v>0.611193931398417</v>
      </c>
    </row>
    <row r="6" customFormat="false" ht="15" hidden="false" customHeight="false" outlineLevel="0" collapsed="false">
      <c r="A6" s="3" t="s">
        <v>140</v>
      </c>
      <c r="B6" s="10" t="n">
        <v>15.63</v>
      </c>
      <c r="C6" s="10" t="n">
        <v>37.16</v>
      </c>
      <c r="D6" s="10" t="n">
        <v>10.79</v>
      </c>
      <c r="E6" s="11" t="n">
        <v>2.37747920665387</v>
      </c>
      <c r="F6" s="12" t="n">
        <v>0.27248654467169</v>
      </c>
      <c r="G6" s="10" t="n">
        <v>10.1256</v>
      </c>
      <c r="H6" s="11" t="n">
        <v>2.51232179249842</v>
      </c>
      <c r="I6" s="12" t="n">
        <v>0.647831094049904</v>
      </c>
    </row>
    <row r="7" customFormat="false" ht="15" hidden="false" customHeight="false" outlineLevel="0" collapsed="false">
      <c r="A7" s="3" t="s">
        <v>141</v>
      </c>
      <c r="B7" s="10" t="n">
        <v>16.11</v>
      </c>
      <c r="C7" s="10" t="n">
        <v>46.25</v>
      </c>
      <c r="D7" s="10" t="n">
        <v>10.95</v>
      </c>
      <c r="E7" s="11" t="n">
        <v>2.87088764742396</v>
      </c>
      <c r="F7" s="12" t="n">
        <v>0.207176216216216</v>
      </c>
      <c r="G7" s="10" t="n">
        <v>9.5819</v>
      </c>
      <c r="H7" s="11" t="n">
        <v>2.80750901342565</v>
      </c>
      <c r="I7" s="12" t="n">
        <v>0.594779639975171</v>
      </c>
    </row>
    <row r="8" customFormat="false" ht="15" hidden="false" customHeight="false" outlineLevel="0" collapsed="false">
      <c r="A8" s="3" t="s">
        <v>142</v>
      </c>
      <c r="B8" s="10" t="n">
        <v>16.33</v>
      </c>
      <c r="C8" s="10" t="n">
        <v>45.61</v>
      </c>
      <c r="D8" s="10" t="n">
        <v>11.65</v>
      </c>
      <c r="E8" s="11" t="n">
        <v>2.79301898346601</v>
      </c>
      <c r="F8" s="12" t="n">
        <v>0.273711905283929</v>
      </c>
      <c r="G8" s="10" t="n">
        <v>12.484</v>
      </c>
      <c r="H8" s="11" t="n">
        <v>3.13543726862535</v>
      </c>
      <c r="I8" s="12" t="n">
        <v>0.764482547458665</v>
      </c>
    </row>
    <row r="9" customFormat="false" ht="15" hidden="false" customHeight="false" outlineLevel="0" collapsed="false">
      <c r="A9" s="3" t="s">
        <v>143</v>
      </c>
      <c r="B9" s="10" t="n">
        <v>16.49</v>
      </c>
      <c r="C9" s="10" t="n">
        <v>43.63</v>
      </c>
      <c r="D9" s="10" t="n">
        <v>15.52</v>
      </c>
      <c r="E9" s="11" t="n">
        <v>2.64584596725288</v>
      </c>
      <c r="F9" s="12" t="n">
        <v>0.221388952555581</v>
      </c>
      <c r="G9" s="10" t="n">
        <v>9.6592</v>
      </c>
      <c r="H9" s="11" t="n">
        <v>3.63029031004828</v>
      </c>
      <c r="I9" s="12" t="n">
        <v>0.585761067313524</v>
      </c>
    </row>
    <row r="10" customFormat="false" ht="15" hidden="false" customHeight="false" outlineLevel="0" collapsed="false">
      <c r="A10" s="3" t="s">
        <v>144</v>
      </c>
      <c r="B10" s="10" t="n">
        <v>16.81</v>
      </c>
      <c r="C10" s="10" t="n">
        <v>39.39</v>
      </c>
      <c r="D10" s="10" t="n">
        <v>7.61</v>
      </c>
      <c r="E10" s="11" t="n">
        <v>2.34324806662701</v>
      </c>
      <c r="F10" s="12" t="n">
        <v>0.182114749936532</v>
      </c>
      <c r="G10" s="10" t="n">
        <v>7.1735</v>
      </c>
      <c r="H10" s="11" t="n">
        <v>4.10355897896777</v>
      </c>
      <c r="I10" s="12" t="n">
        <v>0.42674003569304</v>
      </c>
    </row>
    <row r="11" customFormat="false" ht="15" hidden="false" customHeight="false" outlineLevel="0" collapsed="false">
      <c r="A11" s="3" t="s">
        <v>145</v>
      </c>
      <c r="B11" s="10" t="n">
        <v>17.16</v>
      </c>
      <c r="C11" s="10" t="n">
        <v>50.7</v>
      </c>
      <c r="D11" s="10" t="n">
        <v>10.09</v>
      </c>
      <c r="E11" s="11" t="n">
        <v>2.95454545454546</v>
      </c>
      <c r="F11" s="12" t="n">
        <v>0.19098224852071</v>
      </c>
      <c r="G11" s="10" t="n">
        <v>9.6828</v>
      </c>
      <c r="H11" s="11" t="n">
        <v>4.52288215639928</v>
      </c>
      <c r="I11" s="12" t="n">
        <v>0.564265734265734</v>
      </c>
    </row>
    <row r="12" customFormat="false" ht="15" hidden="false" customHeight="false" outlineLevel="0" collapsed="false">
      <c r="A12" s="3" t="s">
        <v>146</v>
      </c>
      <c r="B12" s="10" t="n">
        <v>17.16</v>
      </c>
      <c r="C12" s="10" t="n">
        <v>58.24</v>
      </c>
      <c r="D12" s="10" t="n">
        <v>15.74</v>
      </c>
      <c r="E12" s="11" t="n">
        <v>3.39393939393939</v>
      </c>
      <c r="F12" s="12" t="n">
        <v>0.227214972527473</v>
      </c>
      <c r="G12" s="10" t="n">
        <v>13.233</v>
      </c>
      <c r="H12" s="11" t="n">
        <v>4.60724473228</v>
      </c>
      <c r="I12" s="12" t="n">
        <v>0.771153846153846</v>
      </c>
    </row>
    <row r="13" customFormat="false" ht="15" hidden="false" customHeight="false" outlineLevel="0" collapsed="false">
      <c r="A13" s="3" t="s">
        <v>147</v>
      </c>
      <c r="B13" s="10" t="n">
        <v>17.29</v>
      </c>
      <c r="C13" s="10" t="n">
        <v>56.44</v>
      </c>
      <c r="D13" s="10" t="n">
        <v>15.87</v>
      </c>
      <c r="E13" s="11" t="n">
        <v>3.26431463273569</v>
      </c>
      <c r="F13" s="12" t="n">
        <v>0.204096385542169</v>
      </c>
      <c r="G13" s="10" t="n">
        <v>11.5192</v>
      </c>
      <c r="H13" s="11" t="n">
        <v>4.86795120390764</v>
      </c>
      <c r="I13" s="12" t="n">
        <v>0.666234817813765</v>
      </c>
    </row>
    <row r="14" customFormat="false" ht="15" hidden="false" customHeight="false" outlineLevel="0" collapsed="false">
      <c r="A14" s="3" t="s">
        <v>148</v>
      </c>
      <c r="B14" s="10" t="n">
        <v>17.3</v>
      </c>
      <c r="C14" s="10" t="n">
        <v>55.62</v>
      </c>
      <c r="D14" s="10" t="n">
        <v>10.72</v>
      </c>
      <c r="E14" s="11" t="n">
        <v>3.2150289017341</v>
      </c>
      <c r="F14" s="12" t="n">
        <v>0.138378281193815</v>
      </c>
      <c r="G14" s="10" t="n">
        <v>7.6966</v>
      </c>
      <c r="H14" s="11" t="n">
        <v>4.97259876472494</v>
      </c>
      <c r="I14" s="12" t="n">
        <v>0.444890173410405</v>
      </c>
    </row>
    <row r="15" customFormat="false" ht="15" hidden="false" customHeight="false" outlineLevel="0" collapsed="false">
      <c r="A15" s="3" t="s">
        <v>149</v>
      </c>
      <c r="B15" s="10" t="n">
        <v>17.32</v>
      </c>
      <c r="C15" s="10" t="n">
        <v>59.08</v>
      </c>
      <c r="D15" s="10" t="n">
        <v>11.93</v>
      </c>
      <c r="E15" s="11" t="n">
        <v>3.41108545034642</v>
      </c>
      <c r="F15" s="12" t="n">
        <v>0.144737643872715</v>
      </c>
      <c r="G15" s="10" t="n">
        <v>8.5511</v>
      </c>
      <c r="H15" s="11" t="n">
        <v>5.25850904212062</v>
      </c>
      <c r="I15" s="12" t="n">
        <v>0.49371247113164</v>
      </c>
    </row>
    <row r="16" customFormat="false" ht="15" hidden="false" customHeight="false" outlineLevel="0" collapsed="false">
      <c r="A16" s="3" t="s">
        <v>150</v>
      </c>
      <c r="B16" s="10" t="n">
        <v>17.15</v>
      </c>
      <c r="C16" s="10" t="n">
        <v>60.04</v>
      </c>
      <c r="D16" s="10"/>
      <c r="E16" s="11" t="n">
        <v>3.50087463556851</v>
      </c>
      <c r="F16" s="12"/>
      <c r="G16" s="10"/>
      <c r="H16" s="11" t="n">
        <v>5.59889032014696</v>
      </c>
      <c r="I1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4" t="s">
        <v>151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5" t="s">
        <v>152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27.75" hidden="false" customHeight="true" outlineLevel="0" collapsed="false">
      <c r="A4" s="13" t="s">
        <v>153</v>
      </c>
      <c r="B4" s="13" t="s">
        <v>154</v>
      </c>
      <c r="C4" s="13" t="s">
        <v>155</v>
      </c>
      <c r="D4" s="13" t="s">
        <v>156</v>
      </c>
      <c r="E4" s="13" t="s">
        <v>157</v>
      </c>
      <c r="F4" s="13" t="s">
        <v>158</v>
      </c>
    </row>
    <row r="5" customFormat="false" ht="19.7" hidden="false" customHeight="false" outlineLevel="0" collapsed="false">
      <c r="A5" s="14" t="n">
        <f aca="false">SUM(Coverage!G12:G15)</f>
        <v>40.9999</v>
      </c>
      <c r="B5" s="15" t="n">
        <v>0.169</v>
      </c>
      <c r="C5" s="16" t="n">
        <f aca="false">Coverage!E16</f>
        <v>3.50087463556851</v>
      </c>
      <c r="D5" s="16" t="n">
        <f aca="false">Coverage!H16</f>
        <v>5.59889032014696</v>
      </c>
      <c r="E5" s="17" t="n">
        <f aca="false">Backtest!C24</f>
        <v>0.338778851620267</v>
      </c>
      <c r="F5" s="18" t="n">
        <f aca="false">Holdout!B6</f>
        <v>8.71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15" hidden="false" customHeight="false" outlineLevel="0" collapsed="false">
      <c r="A8" s="1" t="s">
        <v>159</v>
      </c>
      <c r="B8" s="3"/>
      <c r="C8" s="3"/>
      <c r="D8" s="3"/>
      <c r="E8" s="3"/>
      <c r="F8" s="3"/>
    </row>
    <row r="9" customFormat="false" ht="15" hidden="false" customHeight="false" outlineLevel="0" collapsed="false">
      <c r="A9" s="3" t="s">
        <v>160</v>
      </c>
      <c r="B9" s="19" t="s">
        <v>84</v>
      </c>
      <c r="C9" s="3"/>
      <c r="D9" s="3"/>
      <c r="E9" s="3"/>
      <c r="F9" s="3"/>
    </row>
    <row r="10" customFormat="false" ht="15" hidden="false" customHeight="false" outlineLevel="0" collapsed="false">
      <c r="A10" s="3" t="s">
        <v>161</v>
      </c>
      <c r="B10" s="19" t="s">
        <v>28</v>
      </c>
      <c r="C10" s="3"/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23.85" hidden="false" customHeight="false" outlineLevel="0" collapsed="false">
      <c r="A12" s="6" t="s">
        <v>162</v>
      </c>
      <c r="B12" s="6" t="s">
        <v>163</v>
      </c>
      <c r="C12" s="6" t="s">
        <v>164</v>
      </c>
      <c r="D12" s="6" t="s">
        <v>165</v>
      </c>
      <c r="E12" s="6" t="s">
        <v>166</v>
      </c>
      <c r="F12" s="6" t="s">
        <v>167</v>
      </c>
    </row>
    <row r="13" customFormat="false" ht="15" hidden="false" customHeight="false" outlineLevel="0" collapsed="false">
      <c r="A13" s="3" t="str">
        <f aca="false">IFERROR(IF(INDEX(Lists!$C$2:$Z$2,MATCH($B$9,Lists!$C$1:$Z$1,0))=0,"",INDEX(Lists!$C$2:$Z$2,MATCH($B$9,Lists!$C$1:$Z$1,0))),"")</f>
        <v>9-24 months</v>
      </c>
      <c r="B13" s="3" t="n">
        <f aca="false">IFERROR(INDEX(Perf_data!$D$5:$D$76,MATCH($B$9&amp;"|"&amp;$A13&amp;"|"&amp;$B$10,Perf_data!$I$5:$I$76,0)),"")</f>
        <v>71</v>
      </c>
      <c r="C13" s="7" t="n">
        <f aca="false">IFERROR(INDEX(Perf_data!$E$5:$E$76,MATCH($B$9&amp;"|"&amp;$A13&amp;"|"&amp;$B$10,Perf_data!$I$5:$I$76,0)),"")</f>
        <v>0.126760563380282</v>
      </c>
      <c r="D13" s="8" t="n">
        <f aca="false">IFERROR(INDEX(Perf_data!$F$5:$F$76,MATCH($B$9&amp;"|"&amp;$A13&amp;"|"&amp;$B$10,Perf_data!$I$5:$I$76,0)),"")</f>
        <v>66.2522222222222</v>
      </c>
      <c r="E13" s="9" t="n">
        <f aca="false">IFERROR(INDEX(Perf_data!$G$5:$G$76,MATCH($B$9&amp;"|"&amp;$A13&amp;"|"&amp;$B$10,Perf_data!$I$5:$I$76,0)),"")</f>
        <v>211.777777777778</v>
      </c>
      <c r="F13" s="10" t="n">
        <f aca="false">IFERROR(INDEX(Perf_data!$H$5:$H$76,MATCH($B$9&amp;"|"&amp;$A13&amp;"|"&amp;$B$10,Perf_data!$I$5:$I$76,0)),"")</f>
        <v>2.81554564533054</v>
      </c>
    </row>
    <row r="14" customFormat="false" ht="15" hidden="false" customHeight="false" outlineLevel="0" collapsed="false">
      <c r="A14" s="3" t="str">
        <f aca="false">IFERROR(IF(INDEX(Lists!$C$3:$Z$3,MATCH($B$9,Lists!$C$1:$Z$1,0))=0,"",INDEX(Lists!$C$3:$Z$3,MATCH($B$9,Lists!$C$1:$Z$1,0))),"")</f>
        <v>&lt;9 months</v>
      </c>
      <c r="B14" s="3" t="n">
        <f aca="false">IFERROR(INDEX(Perf_data!$D$5:$D$76,MATCH($B$9&amp;"|"&amp;$A14&amp;"|"&amp;$B$10,Perf_data!$I$5:$I$76,0)),"")</f>
        <v>65</v>
      </c>
      <c r="C14" s="7" t="n">
        <f aca="false">IFERROR(INDEX(Perf_data!$E$5:$E$76,MATCH($B$9&amp;"|"&amp;$A14&amp;"|"&amp;$B$10,Perf_data!$I$5:$I$76,0)),"")</f>
        <v>0.0923076923076923</v>
      </c>
      <c r="D14" s="8" t="n">
        <f aca="false">IFERROR(INDEX(Perf_data!$F$5:$F$76,MATCH($B$9&amp;"|"&amp;$A14&amp;"|"&amp;$B$10,Perf_data!$I$5:$I$76,0)),"")</f>
        <v>88.515</v>
      </c>
      <c r="E14" s="9" t="n">
        <f aca="false">IFERROR(INDEX(Perf_data!$G$5:$G$76,MATCH($B$9&amp;"|"&amp;$A14&amp;"|"&amp;$B$10,Perf_data!$I$5:$I$76,0)),"")</f>
        <v>245.166666666667</v>
      </c>
      <c r="F14" s="10" t="n">
        <f aca="false">IFERROR(INDEX(Perf_data!$H$5:$H$76,MATCH($B$9&amp;"|"&amp;$A14&amp;"|"&amp;$B$10,Perf_data!$I$5:$I$76,0)),"")</f>
        <v>2.16624065261727</v>
      </c>
    </row>
    <row r="15" customFormat="false" ht="15" hidden="false" customHeight="false" outlineLevel="0" collapsed="false">
      <c r="A15" s="3" t="str">
        <f aca="false">IFERROR(IF(INDEX(Lists!$C$4:$Z$4,MATCH($B$9,Lists!$C$1:$Z$1,0))=0,"",INDEX(Lists!$C$4:$Z$4,MATCH($B$9,Lists!$C$1:$Z$1,0))),"")</f>
        <v>&gt;24 months</v>
      </c>
      <c r="B15" s="3" t="n">
        <f aca="false">IFERROR(INDEX(Perf_data!$D$5:$D$76,MATCH($B$9&amp;"|"&amp;$A15&amp;"|"&amp;$B$10,Perf_data!$I$5:$I$76,0)),"")</f>
        <v>250</v>
      </c>
      <c r="C15" s="7" t="n">
        <f aca="false">IFERROR(INDEX(Perf_data!$E$5:$E$76,MATCH($B$9&amp;"|"&amp;$A15&amp;"|"&amp;$B$10,Perf_data!$I$5:$I$76,0)),"")</f>
        <v>0.192</v>
      </c>
      <c r="D15" s="8" t="n">
        <f aca="false">IFERROR(INDEX(Perf_data!$F$5:$F$76,MATCH($B$9&amp;"|"&amp;$A15&amp;"|"&amp;$B$10,Perf_data!$I$5:$I$76,0)),"")</f>
        <v>49.4702083333333</v>
      </c>
      <c r="E15" s="9" t="n">
        <f aca="false">IFERROR(INDEX(Perf_data!$G$5:$G$76,MATCH($B$9&amp;"|"&amp;$A15&amp;"|"&amp;$B$10,Perf_data!$I$5:$I$76,0)),"")</f>
        <v>244</v>
      </c>
      <c r="F15" s="10" t="n">
        <f aca="false">IFERROR(INDEX(Perf_data!$H$5:$H$76,MATCH($B$9&amp;"|"&amp;$A15&amp;"|"&amp;$B$10,Perf_data!$I$5:$I$76,0)),"")</f>
        <v>9.73184426229508</v>
      </c>
    </row>
    <row r="16" customFormat="false" ht="15" hidden="false" customHeight="false" outlineLevel="0" collapsed="false">
      <c r="A16" s="3" t="str">
        <f aca="false">IFERROR(IF(INDEX(Lists!$C$5:$Z$5,MATCH($B$9,Lists!$C$1:$Z$1,0))=0,"",INDEX(Lists!$C$5:$Z$5,MATCH($B$9,Lists!$C$1:$Z$1,0))),"")</f>
        <v>Reassigned deal</v>
      </c>
      <c r="B16" s="3" t="n">
        <f aca="false">IFERROR(INDEX(Perf_data!$D$5:$D$76,MATCH($B$9&amp;"|"&amp;$A16&amp;"|"&amp;$B$10,Perf_data!$I$5:$I$76,0)),"")</f>
        <v>46</v>
      </c>
      <c r="C16" s="7" t="n">
        <f aca="false">IFERROR(INDEX(Perf_data!$E$5:$E$76,MATCH($B$9&amp;"|"&amp;$A16&amp;"|"&amp;$B$10,Perf_data!$I$5:$I$76,0)),"")</f>
        <v>0.217391304347826</v>
      </c>
      <c r="D16" s="8" t="n">
        <f aca="false">IFERROR(INDEX(Perf_data!$F$5:$F$76,MATCH($B$9&amp;"|"&amp;$A16&amp;"|"&amp;$B$10,Perf_data!$I$5:$I$76,0)),"")</f>
        <v>59.806</v>
      </c>
      <c r="E16" s="9" t="n">
        <f aca="false">IFERROR(INDEX(Perf_data!$G$5:$G$76,MATCH($B$9&amp;"|"&amp;$A16&amp;"|"&amp;$B$10,Perf_data!$I$5:$I$76,0)),"")</f>
        <v>272.1</v>
      </c>
      <c r="F16" s="10" t="n">
        <f aca="false">IFERROR(INDEX(Perf_data!$H$5:$H$76,MATCH($B$9&amp;"|"&amp;$A16&amp;"|"&amp;$B$10,Perf_data!$I$5:$I$76,0)),"")</f>
        <v>2.19794193311283</v>
      </c>
    </row>
    <row r="17" customFormat="false" ht="15" hidden="false" customHeight="false" outlineLevel="0" collapsed="false">
      <c r="A17" s="3" t="str">
        <f aca="false">IFERROR(IF(INDEX(Lists!$C$6:$Z$6,MATCH($B$9,Lists!$C$1:$Z$1,0))=0,"",INDEX(Lists!$C$6:$Z$6,MATCH($B$9,Lists!$C$1:$Z$1,0))),"")</f>
        <v/>
      </c>
      <c r="B17" s="3" t="str">
        <f aca="false">IFERROR(INDEX(Perf_data!$D$5:$D$76,MATCH($B$9&amp;"|"&amp;$A17&amp;"|"&amp;$B$10,Perf_data!$I$5:$I$76,0)),"")</f>
        <v/>
      </c>
      <c r="C17" s="7" t="str">
        <f aca="false">IFERROR(INDEX(Perf_data!$E$5:$E$76,MATCH($B$9&amp;"|"&amp;$A17&amp;"|"&amp;$B$10,Perf_data!$I$5:$I$76,0)),"")</f>
        <v/>
      </c>
      <c r="D17" s="8" t="str">
        <f aca="false">IFERROR(INDEX(Perf_data!$F$5:$F$76,MATCH($B$9&amp;"|"&amp;$A17&amp;"|"&amp;$B$10,Perf_data!$I$5:$I$76,0)),"")</f>
        <v/>
      </c>
      <c r="E17" s="9" t="str">
        <f aca="false">IFERROR(INDEX(Perf_data!$G$5:$G$76,MATCH($B$9&amp;"|"&amp;$A17&amp;"|"&amp;$B$10,Perf_data!$I$5:$I$76,0)),"")</f>
        <v/>
      </c>
      <c r="F17" s="10" t="str">
        <f aca="false">IFERROR(INDEX(Perf_data!$H$5:$H$76,MATCH($B$9&amp;"|"&amp;$A17&amp;"|"&amp;$B$10,Perf_data!$I$5:$I$76,0)),"")</f>
        <v/>
      </c>
    </row>
    <row r="18" customFormat="false" ht="15" hidden="false" customHeight="false" outlineLevel="0" collapsed="false">
      <c r="A18" s="3" t="str">
        <f aca="false">IFERROR(IF(INDEX(Lists!$C$7:$Z$7,MATCH($B$9,Lists!$C$1:$Z$1,0))=0,"",INDEX(Lists!$C$7:$Z$7,MATCH($B$9,Lists!$C$1:$Z$1,0))),"")</f>
        <v/>
      </c>
      <c r="B18" s="3" t="str">
        <f aca="false">IFERROR(INDEX(Perf_data!$D$5:$D$76,MATCH($B$9&amp;"|"&amp;$A18&amp;"|"&amp;$B$10,Perf_data!$I$5:$I$76,0)),"")</f>
        <v/>
      </c>
      <c r="C18" s="7" t="str">
        <f aca="false">IFERROR(INDEX(Perf_data!$E$5:$E$76,MATCH($B$9&amp;"|"&amp;$A18&amp;"|"&amp;$B$10,Perf_data!$I$5:$I$76,0)),"")</f>
        <v/>
      </c>
      <c r="D18" s="8" t="str">
        <f aca="false">IFERROR(INDEX(Perf_data!$F$5:$F$76,MATCH($B$9&amp;"|"&amp;$A18&amp;"|"&amp;$B$10,Perf_data!$I$5:$I$76,0)),"")</f>
        <v/>
      </c>
      <c r="E18" s="9" t="str">
        <f aca="false">IFERROR(INDEX(Perf_data!$G$5:$G$76,MATCH($B$9&amp;"|"&amp;$A18&amp;"|"&amp;$B$10,Perf_data!$I$5:$I$76,0)),"")</f>
        <v/>
      </c>
      <c r="F18" s="10" t="str">
        <f aca="false">IFERROR(INDEX(Perf_data!$H$5:$H$76,MATCH($B$9&amp;"|"&amp;$A18&amp;"|"&amp;$B$10,Perf_data!$I$5:$I$76,0)),"")</f>
        <v/>
      </c>
    </row>
    <row r="19" customFormat="false" ht="15" hidden="false" customHeight="false" outlineLevel="0" collapsed="false">
      <c r="A19" s="3" t="str">
        <f aca="false">IFERROR(IF(INDEX(Lists!$C$8:$Z$8,MATCH($B$9,Lists!$C$1:$Z$1,0))=0,"",INDEX(Lists!$C$8:$Z$8,MATCH($B$9,Lists!$C$1:$Z$1,0))),"")</f>
        <v/>
      </c>
      <c r="B19" s="3" t="str">
        <f aca="false">IFERROR(INDEX(Perf_data!$D$5:$D$76,MATCH($B$9&amp;"|"&amp;$A19&amp;"|"&amp;$B$10,Perf_data!$I$5:$I$76,0)),"")</f>
        <v/>
      </c>
      <c r="C19" s="7" t="str">
        <f aca="false">IFERROR(INDEX(Perf_data!$E$5:$E$76,MATCH($B$9&amp;"|"&amp;$A19&amp;"|"&amp;$B$10,Perf_data!$I$5:$I$76,0)),"")</f>
        <v/>
      </c>
      <c r="D19" s="8" t="str">
        <f aca="false">IFERROR(INDEX(Perf_data!$F$5:$F$76,MATCH($B$9&amp;"|"&amp;$A19&amp;"|"&amp;$B$10,Perf_data!$I$5:$I$76,0)),"")</f>
        <v/>
      </c>
      <c r="E19" s="9" t="str">
        <f aca="false">IFERROR(INDEX(Perf_data!$G$5:$G$76,MATCH($B$9&amp;"|"&amp;$A19&amp;"|"&amp;$B$10,Perf_data!$I$5:$I$76,0)),"")</f>
        <v/>
      </c>
      <c r="F19" s="10" t="str">
        <f aca="false">IFERROR(INDEX(Perf_data!$H$5:$H$76,MATCH($B$9&amp;"|"&amp;$A19&amp;"|"&amp;$B$10,Perf_data!$I$5:$I$76,0)),"")</f>
        <v/>
      </c>
    </row>
    <row r="20" customFormat="false" ht="15" hidden="false" customHeight="false" outlineLevel="0" collapsed="false">
      <c r="A20" s="3" t="str">
        <f aca="false">IFERROR(IF(INDEX(Lists!$C$9:$Z$9,MATCH($B$9,Lists!$C$1:$Z$1,0))=0,"",INDEX(Lists!$C$9:$Z$9,MATCH($B$9,Lists!$C$1:$Z$1,0))),"")</f>
        <v/>
      </c>
      <c r="B20" s="3" t="str">
        <f aca="false">IFERROR(INDEX(Perf_data!$D$5:$D$76,MATCH($B$9&amp;"|"&amp;$A20&amp;"|"&amp;$B$10,Perf_data!$I$5:$I$76,0)),"")</f>
        <v/>
      </c>
      <c r="C20" s="7" t="str">
        <f aca="false">IFERROR(INDEX(Perf_data!$E$5:$E$76,MATCH($B$9&amp;"|"&amp;$A20&amp;"|"&amp;$B$10,Perf_data!$I$5:$I$76,0)),"")</f>
        <v/>
      </c>
      <c r="D20" s="8" t="str">
        <f aca="false">IFERROR(INDEX(Perf_data!$F$5:$F$76,MATCH($B$9&amp;"|"&amp;$A20&amp;"|"&amp;$B$10,Perf_data!$I$5:$I$76,0)),"")</f>
        <v/>
      </c>
      <c r="E20" s="9" t="str">
        <f aca="false">IFERROR(INDEX(Perf_data!$G$5:$G$76,MATCH($B$9&amp;"|"&amp;$A20&amp;"|"&amp;$B$10,Perf_data!$I$5:$I$76,0)),"")</f>
        <v/>
      </c>
      <c r="F20" s="10" t="str">
        <f aca="false">IFERROR(INDEX(Perf_data!$H$5:$H$76,MATCH($B$9&amp;"|"&amp;$A20&amp;"|"&amp;$B$10,Perf_data!$I$5:$I$76,0)),"")</f>
        <v/>
      </c>
    </row>
  </sheetData>
  <dataValidations count="2">
    <dataValidation allowBlank="false" errorStyle="stop" operator="between" showDropDown="false" showErrorMessage="false" showInputMessage="false" sqref="B9" type="list">
      <formula1>Lists!$A$1:$A$6</formula1>
      <formula2>0</formula2>
    </dataValidation>
    <dataValidation allowBlank="false" errorStyle="stop" operator="between" showDropDown="false" showErrorMessage="false" showInputMessage="false" sqref="B10" type="list">
      <formula1>"FY24,FY25,FY26"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1"/>
  </cols>
  <sheetData>
    <row r="1" customFormat="false" ht="16.15" hidden="false" customHeight="false" outlineLevel="0" collapsed="false">
      <c r="A1" s="4" t="s">
        <v>168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false" outlineLevel="0" collapsed="false">
      <c r="A2" s="5" t="s">
        <v>169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3.85" hidden="false" customHeight="false" outlineLevel="0" collapsed="false">
      <c r="A4" s="6" t="s">
        <v>129</v>
      </c>
      <c r="B4" s="6" t="s">
        <v>170</v>
      </c>
      <c r="C4" s="6" t="s">
        <v>171</v>
      </c>
      <c r="D4" s="6" t="s">
        <v>172</v>
      </c>
      <c r="E4" s="6" t="s">
        <v>173</v>
      </c>
      <c r="F4" s="6" t="s">
        <v>174</v>
      </c>
      <c r="G4" s="6" t="s">
        <v>175</v>
      </c>
      <c r="H4" s="6" t="s">
        <v>176</v>
      </c>
      <c r="I4" s="6" t="s">
        <v>177</v>
      </c>
      <c r="J4" s="6" t="s">
        <v>178</v>
      </c>
    </row>
    <row r="5" customFormat="false" ht="15" hidden="false" customHeight="false" outlineLevel="0" collapsed="false">
      <c r="A5" s="3" t="s">
        <v>142</v>
      </c>
      <c r="B5" s="10" t="n">
        <v>12.484</v>
      </c>
      <c r="C5" s="10" t="n">
        <v>11.65</v>
      </c>
      <c r="D5" s="10" t="n">
        <v>14.501311243542</v>
      </c>
      <c r="E5" s="10" t="n">
        <v>15.2435451548292</v>
      </c>
      <c r="F5" s="10" t="n">
        <v>14.2111998289162</v>
      </c>
      <c r="G5" s="10" t="n">
        <v>14.6520187424291</v>
      </c>
      <c r="H5" s="10" t="n">
        <v>12.3356848671515</v>
      </c>
      <c r="I5" s="10" t="n">
        <v>8.64426185547815</v>
      </c>
      <c r="J5" s="10" t="n">
        <v>15.2097428409126</v>
      </c>
    </row>
    <row r="6" customFormat="false" ht="15" hidden="false" customHeight="false" outlineLevel="0" collapsed="false">
      <c r="A6" s="3" t="s">
        <v>143</v>
      </c>
      <c r="B6" s="10" t="n">
        <v>9.6592</v>
      </c>
      <c r="C6" s="10" t="n">
        <v>15.52</v>
      </c>
      <c r="D6" s="10" t="n">
        <v>10.6609820688363</v>
      </c>
      <c r="E6" s="10" t="n">
        <v>11.1456853452057</v>
      </c>
      <c r="F6" s="10" t="n">
        <v>11.2492029280938</v>
      </c>
      <c r="G6" s="10" t="n">
        <v>11.0186234473786</v>
      </c>
      <c r="H6" s="10" t="n">
        <v>9.12338928801032</v>
      </c>
      <c r="I6" s="10" t="n">
        <v>6.39323773786035</v>
      </c>
      <c r="J6" s="10" t="n">
        <v>11.2490231716026</v>
      </c>
    </row>
    <row r="7" customFormat="false" ht="15" hidden="false" customHeight="false" outlineLevel="0" collapsed="false">
      <c r="A7" s="3" t="s">
        <v>144</v>
      </c>
      <c r="B7" s="10" t="n">
        <v>7.1735</v>
      </c>
      <c r="C7" s="10" t="n">
        <v>7.61</v>
      </c>
      <c r="D7" s="10" t="n">
        <v>8.10748464309596</v>
      </c>
      <c r="E7" s="10" t="n">
        <v>9.58098957760665</v>
      </c>
      <c r="F7" s="10" t="n">
        <v>9.08673159316331</v>
      </c>
      <c r="G7" s="10" t="n">
        <v>8.92506860462198</v>
      </c>
      <c r="H7" s="10" t="n">
        <v>6.93817305647188</v>
      </c>
      <c r="I7" s="10" t="n">
        <v>4.86194202791884</v>
      </c>
      <c r="J7" s="10" t="n">
        <v>8.55467929921708</v>
      </c>
    </row>
    <row r="8" customFormat="false" ht="15" hidden="false" customHeight="false" outlineLevel="0" collapsed="false">
      <c r="A8" s="3" t="s">
        <v>145</v>
      </c>
      <c r="B8" s="10" t="n">
        <v>9.6828</v>
      </c>
      <c r="C8" s="10" t="n">
        <v>10.09</v>
      </c>
      <c r="D8" s="10" t="n">
        <v>9.71308013049193</v>
      </c>
      <c r="E8" s="10" t="n">
        <v>9.89392097388673</v>
      </c>
      <c r="F8" s="10" t="n">
        <v>10.3943929167544</v>
      </c>
      <c r="G8" s="10" t="n">
        <v>10.000464673711</v>
      </c>
      <c r="H8" s="10" t="n">
        <v>8.47800064959112</v>
      </c>
      <c r="I8" s="10" t="n">
        <v>5.94098004409403</v>
      </c>
      <c r="J8" s="10" t="n">
        <v>10.4532671735759</v>
      </c>
    </row>
    <row r="9" customFormat="false" ht="15" hidden="false" customHeight="false" outlineLevel="0" collapsed="false">
      <c r="A9" s="3" t="s">
        <v>146</v>
      </c>
      <c r="B9" s="10" t="n">
        <v>13.233</v>
      </c>
      <c r="C9" s="10" t="n">
        <v>15.74</v>
      </c>
      <c r="D9" s="10" t="n">
        <v>11.4804307115937</v>
      </c>
      <c r="E9" s="10" t="n">
        <v>11.7701009884813</v>
      </c>
      <c r="F9" s="10" t="n">
        <v>12.5510428835585</v>
      </c>
      <c r="G9" s="10" t="n">
        <v>11.9338581945445</v>
      </c>
      <c r="H9" s="10" t="n">
        <v>10.2797645347861</v>
      </c>
      <c r="I9" s="10" t="n">
        <v>7.20357056850368</v>
      </c>
      <c r="J9" s="10" t="n">
        <v>12.674819170809</v>
      </c>
    </row>
    <row r="10" customFormat="false" ht="15" hidden="false" customHeight="false" outlineLevel="0" collapsed="false">
      <c r="A10" s="3" t="s">
        <v>147</v>
      </c>
      <c r="B10" s="10" t="n">
        <v>11.5192</v>
      </c>
      <c r="C10" s="10" t="n">
        <v>15.87</v>
      </c>
      <c r="D10" s="10" t="n">
        <v>13.2045605629885</v>
      </c>
      <c r="E10" s="10" t="n">
        <v>14.4366455376647</v>
      </c>
      <c r="F10" s="10" t="n">
        <v>14.5360001649502</v>
      </c>
      <c r="G10" s="10" t="n">
        <v>14.0590687552011</v>
      </c>
      <c r="H10" s="10" t="n">
        <v>12.5635807824336</v>
      </c>
      <c r="I10" s="10" t="n">
        <v>8.80396048499964</v>
      </c>
      <c r="J10" s="10" t="n">
        <v>15.4907356113397</v>
      </c>
    </row>
    <row r="11" customFormat="false" ht="15" hidden="false" customHeight="false" outlineLevel="0" collapsed="false">
      <c r="A11" s="3" t="s">
        <v>148</v>
      </c>
      <c r="B11" s="10" t="n">
        <v>7.6966</v>
      </c>
      <c r="C11" s="10" t="n">
        <v>10.72</v>
      </c>
      <c r="D11" s="10" t="n">
        <v>12.2285940561402</v>
      </c>
      <c r="E11" s="10" t="n">
        <v>12.7213272886529</v>
      </c>
      <c r="F11" s="10" t="n">
        <v>12.0142010176676</v>
      </c>
      <c r="G11" s="10" t="n">
        <v>12.3213741208202</v>
      </c>
      <c r="H11" s="10" t="n">
        <v>11.5051641481326</v>
      </c>
      <c r="I11" s="10" t="n">
        <v>8.06227239571849</v>
      </c>
      <c r="J11" s="10" t="n">
        <v>14.1857213377398</v>
      </c>
    </row>
    <row r="12" customFormat="false" ht="15" hidden="false" customHeight="false" outlineLevel="0" collapsed="false">
      <c r="A12" s="3" t="s">
        <v>149</v>
      </c>
      <c r="B12" s="10" t="n">
        <v>8.5511</v>
      </c>
      <c r="C12" s="10" t="n">
        <v>11.93</v>
      </c>
      <c r="D12" s="10" t="n">
        <v>11.1202020226466</v>
      </c>
      <c r="E12" s="10" t="n">
        <v>11.1586664053733</v>
      </c>
      <c r="F12" s="10" t="n">
        <v>11.0583657153129</v>
      </c>
      <c r="G12" s="10" t="n">
        <v>11.1124113811109</v>
      </c>
      <c r="H12" s="10" t="n">
        <v>10.3932066263772</v>
      </c>
      <c r="I12" s="10" t="n">
        <v>7.28306539637154</v>
      </c>
      <c r="J12" s="10" t="n">
        <v>12.8146918296048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23.85" hidden="false" customHeight="false" outlineLevel="0" collapsed="false">
      <c r="A14" s="6" t="s">
        <v>179</v>
      </c>
      <c r="B14" s="6" t="s">
        <v>180</v>
      </c>
      <c r="C14" s="6" t="s">
        <v>181</v>
      </c>
      <c r="D14" s="6" t="s">
        <v>182</v>
      </c>
      <c r="E14" s="6" t="s">
        <v>183</v>
      </c>
      <c r="F14" s="6" t="s">
        <v>184</v>
      </c>
      <c r="G14" s="3"/>
      <c r="H14" s="3"/>
      <c r="I14" s="3"/>
      <c r="J14" s="3"/>
    </row>
    <row r="15" customFormat="false" ht="15" hidden="false" customHeight="false" outlineLevel="0" collapsed="false">
      <c r="A15" s="3" t="s">
        <v>185</v>
      </c>
      <c r="B15" s="3" t="n">
        <v>8</v>
      </c>
      <c r="C15" s="7" t="n">
        <f aca="false">SUMPRODUCT(ABS(C5:C12-$B$5:$B$12)/$B$5:$B$12)/8</f>
        <v>0.266447768814076</v>
      </c>
      <c r="D15" s="20" t="n">
        <f aca="false">SUMPRODUCT((C5:C12-$B$5:$B$12)/$B$5:$B$12)/8</f>
        <v>0.249746391050539</v>
      </c>
      <c r="E15" s="7" t="n">
        <f aca="false">SUMPRODUCT(ABS(C9:C12-$B$9:$B$12)/$B$9:$B$12)/4</f>
        <v>0.338778851620267</v>
      </c>
      <c r="F15" s="7" t="n">
        <f aca="false">SUMPRODUCT(MAX(ABS(C5:C12-$B$5:$B$12)/$B$5:$B$12))</f>
        <v>0.606758323670697</v>
      </c>
      <c r="G15" s="3"/>
      <c r="H15" s="3"/>
      <c r="I15" s="3"/>
      <c r="J15" s="3"/>
    </row>
    <row r="16" customFormat="false" ht="15" hidden="false" customHeight="false" outlineLevel="0" collapsed="false">
      <c r="A16" s="3" t="s">
        <v>186</v>
      </c>
      <c r="B16" s="3" t="n">
        <v>8</v>
      </c>
      <c r="C16" s="7" t="n">
        <f aca="false">SUMPRODUCT(ABS(D5:D12-$B$5:$B$12)/$B$5:$B$12)/8</f>
        <v>0.19583135937353</v>
      </c>
      <c r="D16" s="20" t="n">
        <f aca="false">SUMPRODUCT((D5:D12-$B$5:$B$12)/$B$5:$B$12)/8</f>
        <v>0.162721533778308</v>
      </c>
      <c r="E16" s="7" t="n">
        <f aca="false">SUMPRODUCT(ABS(D9:D12-$B$9:$B$12)/$B$9:$B$12)/4</f>
        <v>0.292004974493752</v>
      </c>
      <c r="F16" s="7" t="n">
        <f aca="false">SUMPRODUCT(MAX(ABS(D5:D12-$B$5:$B$12)/$B$5:$B$12))</f>
        <v>0.588830659790062</v>
      </c>
      <c r="G16" s="3"/>
      <c r="H16" s="3"/>
      <c r="I16" s="3"/>
      <c r="J16" s="3"/>
    </row>
    <row r="17" customFormat="false" ht="15" hidden="false" customHeight="false" outlineLevel="0" collapsed="false">
      <c r="A17" s="3" t="s">
        <v>187</v>
      </c>
      <c r="B17" s="3" t="n">
        <v>8</v>
      </c>
      <c r="C17" s="7" t="n">
        <f aca="false">SUMPRODUCT(ABS(E5:E12-$B$5:$B$12)/$B$5:$B$12)/8</f>
        <v>0.256744898478139</v>
      </c>
      <c r="D17" s="20" t="n">
        <f aca="false">SUMPRODUCT((E5:E12-$B$5:$B$12)/$B$5:$B$12)/8</f>
        <v>0.229107571123822</v>
      </c>
      <c r="E17" s="7" t="n">
        <f aca="false">SUMPRODUCT(ABS(E9:E12-$B$9:$B$12)/$B$9:$B$12)/4</f>
        <v>0.330401732561814</v>
      </c>
      <c r="F17" s="7" t="n">
        <f aca="false">SUMPRODUCT(MAX(ABS(E5:E12-$B$5:$B$12)/$B$5:$B$12))</f>
        <v>0.652850257081431</v>
      </c>
      <c r="G17" s="3"/>
      <c r="H17" s="3"/>
      <c r="I17" s="3"/>
      <c r="J17" s="3"/>
    </row>
    <row r="18" customFormat="false" ht="15" hidden="false" customHeight="false" outlineLevel="0" collapsed="false">
      <c r="A18" s="3" t="s">
        <v>188</v>
      </c>
      <c r="B18" s="3" t="n">
        <v>8</v>
      </c>
      <c r="C18" s="7" t="n">
        <f aca="false">SUMPRODUCT(ABS(F5:F12-$B$5:$B$12)/$B$5:$B$12)/8</f>
        <v>0.226346819904143</v>
      </c>
      <c r="D18" s="20" t="n">
        <f aca="false">SUMPRODUCT((F5:F12-$B$5:$B$12)/$B$5:$B$12)/8</f>
        <v>0.213463174539497</v>
      </c>
      <c r="E18" s="7" t="n">
        <f aca="false">SUMPRODUCT(ABS(F9:F12-$B$9:$B$12)/$B$9:$B$12)/4</f>
        <v>0.291903155046429</v>
      </c>
      <c r="F18" s="7" t="n">
        <f aca="false">SUMPRODUCT(MAX(ABS(F5:F12-$B$5:$B$12)/$B$5:$B$12))</f>
        <v>0.560975108186417</v>
      </c>
      <c r="G18" s="3"/>
      <c r="H18" s="3"/>
      <c r="I18" s="3"/>
      <c r="J18" s="3"/>
    </row>
    <row r="19" customFormat="false" ht="15" hidden="false" customHeight="false" outlineLevel="0" collapsed="false">
      <c r="A19" s="3" t="s">
        <v>189</v>
      </c>
      <c r="B19" s="3" t="n">
        <v>8</v>
      </c>
      <c r="C19" s="7" t="n">
        <f aca="false">SUMPRODUCT(ABS(G5:G12-$B$5:$B$12)/$B$5:$B$12)/8</f>
        <v>0.226307692585271</v>
      </c>
      <c r="D19" s="20" t="n">
        <f aca="false">SUMPRODUCT((G5:G12-$B$5:$B$12)/$B$5:$B$12)/8</f>
        <v>0.201764093147209</v>
      </c>
      <c r="E19" s="7" t="n">
        <f aca="false">SUMPRODUCT(ABS(G9:G12-$B$9:$B$12)/$B$9:$B$12)/4</f>
        <v>0.304769954033998</v>
      </c>
      <c r="F19" s="7" t="n">
        <f aca="false">SUMPRODUCT(MAX(ABS(G5:G12-$B$5:$B$12)/$B$5:$B$12))</f>
        <v>0.60088534168597</v>
      </c>
      <c r="G19" s="3"/>
      <c r="H19" s="3"/>
      <c r="I19" s="3"/>
      <c r="J19" s="3"/>
    </row>
    <row r="20" customFormat="false" ht="15" hidden="false" customHeight="false" outlineLevel="0" collapsed="false">
      <c r="A20" s="1" t="s">
        <v>190</v>
      </c>
      <c r="B20" s="3" t="n">
        <v>8</v>
      </c>
      <c r="C20" s="7" t="n">
        <f aca="false">SUMPRODUCT(ABS(H5:H12-$B$5:$B$12)/$B$5:$B$12)/8</f>
        <v>0.15608508759559</v>
      </c>
      <c r="D20" s="20" t="n">
        <f aca="false">SUMPRODUCT((H5:H12-$B$5:$B$12)/$B$5:$B$12)/8</f>
        <v>0.0441461429999153</v>
      </c>
      <c r="E20" s="7" t="n">
        <f aca="false">SUMPRODUCT(ABS(H9:H12-$B$9:$B$12)/$B$9:$B$12)/4</f>
        <v>0.256024237948598</v>
      </c>
      <c r="F20" s="7" t="n">
        <f aca="false">SUMPRODUCT(MAX(ABS(H5:H12-$B$5:$B$12)/$B$5:$B$12))</f>
        <v>0.49483722008843</v>
      </c>
      <c r="G20" s="3"/>
      <c r="H20" s="3"/>
      <c r="I20" s="3"/>
      <c r="J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3" t="s">
        <v>191</v>
      </c>
      <c r="B22" s="3"/>
      <c r="C22" s="12" t="n">
        <f aca="false">SUMPRODUCT((B5:B12&gt;=I5:I12)*(B5:B12&lt;=J5:J12))/8</f>
        <v>0.75</v>
      </c>
      <c r="D22" s="3"/>
      <c r="E22" s="3"/>
      <c r="F22" s="3"/>
      <c r="G22" s="3"/>
      <c r="H22" s="3"/>
      <c r="I22" s="3"/>
      <c r="J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false" outlineLevel="0" collapsed="false">
      <c r="A24" s="3" t="s">
        <v>192</v>
      </c>
      <c r="B24" s="3"/>
      <c r="C24" s="12" t="n">
        <f aca="false">SUMPRODUCT(ABS(C9:C12-B9:B12)/B9:B12)/4</f>
        <v>0.338778851620267</v>
      </c>
      <c r="D24" s="3"/>
      <c r="E24" s="3"/>
      <c r="F24" s="3"/>
      <c r="G24" s="3"/>
      <c r="H24" s="3"/>
      <c r="I24" s="3"/>
      <c r="J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false" outlineLevel="0" collapsed="false">
      <c r="A26" s="21" t="s">
        <v>193</v>
      </c>
      <c r="B26" s="3"/>
      <c r="C26" s="3"/>
      <c r="D26" s="3"/>
      <c r="E26" s="3"/>
      <c r="F26" s="3"/>
      <c r="G26" s="3"/>
      <c r="H26" s="3"/>
      <c r="I26" s="3"/>
      <c r="J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4" t="s">
        <v>194</v>
      </c>
      <c r="B1" s="3"/>
      <c r="C1" s="3"/>
      <c r="D1" s="3"/>
      <c r="E1" s="3"/>
    </row>
    <row r="2" customFormat="false" ht="15" hidden="false" customHeight="false" outlineLevel="0" collapsed="false">
      <c r="A2" s="5" t="s">
        <v>195</v>
      </c>
      <c r="B2" s="3"/>
      <c r="C2" s="3"/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3" t="s">
        <v>179</v>
      </c>
      <c r="B4" s="3" t="s">
        <v>196</v>
      </c>
      <c r="C4" s="3"/>
      <c r="D4" s="3"/>
      <c r="E4" s="3"/>
    </row>
    <row r="5" customFormat="false" ht="15" hidden="false" customHeight="false" outlineLevel="0" collapsed="false">
      <c r="A5" s="1" t="s">
        <v>197</v>
      </c>
      <c r="B5" s="22" t="n">
        <v>6.11</v>
      </c>
      <c r="C5" s="3"/>
      <c r="D5" s="3"/>
      <c r="E5" s="3"/>
    </row>
    <row r="6" customFormat="false" ht="15" hidden="false" customHeight="false" outlineLevel="0" collapsed="false">
      <c r="A6" s="1" t="s">
        <v>198</v>
      </c>
      <c r="B6" s="22" t="n">
        <v>8.71</v>
      </c>
      <c r="C6" s="3"/>
      <c r="D6" s="3"/>
      <c r="E6" s="3"/>
    </row>
    <row r="7" customFormat="false" ht="15" hidden="false" customHeight="false" outlineLevel="0" collapsed="false">
      <c r="A7" s="1" t="s">
        <v>199</v>
      </c>
      <c r="B7" s="22" t="n">
        <v>10.74</v>
      </c>
      <c r="C7" s="3"/>
      <c r="D7" s="3"/>
      <c r="E7" s="3"/>
    </row>
    <row r="8" customFormat="false" ht="15" hidden="false" customHeight="false" outlineLevel="0" collapsed="false">
      <c r="A8" s="3"/>
      <c r="B8" s="3"/>
      <c r="C8" s="3"/>
      <c r="D8" s="3"/>
      <c r="E8" s="3"/>
    </row>
    <row r="9" customFormat="false" ht="15" hidden="false" customHeight="false" outlineLevel="0" collapsed="false">
      <c r="A9" s="3" t="s">
        <v>200</v>
      </c>
      <c r="B9" s="10" t="n">
        <v>10.617</v>
      </c>
      <c r="C9" s="3"/>
      <c r="D9" s="3"/>
      <c r="E9" s="3"/>
    </row>
    <row r="10" customFormat="false" ht="15" hidden="false" customHeight="false" outlineLevel="0" collapsed="false">
      <c r="A10" s="3" t="s">
        <v>201</v>
      </c>
      <c r="B10" s="23" t="n">
        <v>0.8207</v>
      </c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1" t="s">
        <v>202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203</v>
      </c>
      <c r="B13" s="10" t="n">
        <v>12.65</v>
      </c>
      <c r="C13" s="3"/>
      <c r="D13" s="3"/>
      <c r="E13" s="3"/>
    </row>
    <row r="14" customFormat="false" ht="15" hidden="false" customHeight="false" outlineLevel="0" collapsed="false">
      <c r="A14" s="3" t="s">
        <v>204</v>
      </c>
      <c r="B14" s="10" t="n">
        <v>10.85</v>
      </c>
      <c r="C14" s="3"/>
      <c r="D14" s="3"/>
      <c r="E14" s="3"/>
    </row>
    <row r="15" customFormat="false" ht="15" hidden="false" customHeight="false" outlineLevel="0" collapsed="false">
      <c r="A15" s="3" t="s">
        <v>205</v>
      </c>
      <c r="B15" s="10" t="n">
        <v>8.17</v>
      </c>
      <c r="C15" s="3"/>
      <c r="D15" s="3"/>
      <c r="E15" s="3"/>
    </row>
    <row r="16" customFormat="false" ht="15" hidden="false" customHeight="false" outlineLevel="0" collapsed="false">
      <c r="A16" s="3" t="s">
        <v>206</v>
      </c>
      <c r="B16" s="10" t="n">
        <v>13.48</v>
      </c>
      <c r="C16" s="3"/>
      <c r="D16" s="3"/>
      <c r="E16" s="3"/>
    </row>
    <row r="17" customFormat="false" ht="15" hidden="false" customHeight="false" outlineLevel="0" collapsed="false">
      <c r="A17" s="3" t="s">
        <v>207</v>
      </c>
      <c r="B17" s="10" t="n">
        <v>9.06</v>
      </c>
      <c r="C17" s="3"/>
      <c r="D17" s="3"/>
      <c r="E17" s="3"/>
    </row>
    <row r="18" customFormat="false" ht="15" hidden="false" customHeight="false" outlineLevel="0" collapsed="false">
      <c r="A18" s="3" t="s">
        <v>208</v>
      </c>
      <c r="B18" s="10" t="n">
        <v>17.15</v>
      </c>
      <c r="C18" s="3"/>
      <c r="D18" s="3"/>
      <c r="E18" s="3"/>
    </row>
    <row r="19" customFormat="false" ht="15" hidden="false" customHeight="false" outlineLevel="0" collapsed="false">
      <c r="A19" s="3"/>
      <c r="B19" s="3"/>
      <c r="C19" s="3"/>
      <c r="D19" s="3"/>
      <c r="E19" s="3"/>
    </row>
    <row r="20" customFormat="false" ht="15" hidden="false" customHeight="false" outlineLevel="0" collapsed="false">
      <c r="A20" s="1" t="s">
        <v>209</v>
      </c>
      <c r="B20" s="3"/>
      <c r="C20" s="3"/>
      <c r="D20" s="3"/>
      <c r="E20" s="3"/>
    </row>
    <row r="21" customFormat="false" ht="30" hidden="false" customHeight="true" outlineLevel="0" collapsed="false">
      <c r="A21" s="24" t="s">
        <v>210</v>
      </c>
      <c r="B21" s="24"/>
      <c r="C21" s="24"/>
      <c r="D21" s="24"/>
      <c r="E21" s="3"/>
    </row>
    <row r="22" customFormat="false" ht="15" hidden="false" customHeight="false" outlineLevel="0" collapsed="false">
      <c r="A22" s="24"/>
      <c r="B22" s="24"/>
      <c r="C22" s="24"/>
      <c r="D22" s="24"/>
      <c r="E22" s="3"/>
    </row>
    <row r="23" customFormat="false" ht="15" hidden="false" customHeight="false" outlineLevel="0" collapsed="false">
      <c r="A23" s="24"/>
      <c r="B23" s="24"/>
      <c r="C23" s="24"/>
      <c r="D23" s="24"/>
      <c r="E23" s="3"/>
    </row>
    <row r="24" customFormat="false" ht="15" hidden="false" customHeight="false" outlineLevel="0" collapsed="false">
      <c r="A24" s="3"/>
      <c r="B24" s="3"/>
      <c r="C24" s="3"/>
      <c r="D24" s="3"/>
      <c r="E24" s="3"/>
    </row>
    <row r="25" customFormat="false" ht="15" hidden="false" customHeight="false" outlineLevel="0" collapsed="false">
      <c r="A25" s="1" t="s">
        <v>211</v>
      </c>
      <c r="B25" s="3"/>
      <c r="C25" s="3"/>
      <c r="D25" s="3"/>
      <c r="E25" s="3"/>
    </row>
    <row r="26" customFormat="false" ht="35.05" hidden="false" customHeight="false" outlineLevel="0" collapsed="false">
      <c r="A26" s="6" t="s">
        <v>212</v>
      </c>
      <c r="B26" s="6" t="s">
        <v>213</v>
      </c>
      <c r="C26" s="6" t="s">
        <v>214</v>
      </c>
      <c r="D26" s="6" t="s">
        <v>215</v>
      </c>
      <c r="E26" s="6" t="s">
        <v>216</v>
      </c>
    </row>
    <row r="27" customFormat="false" ht="15" hidden="false" customHeight="false" outlineLevel="0" collapsed="false">
      <c r="A27" s="3" t="s">
        <v>217</v>
      </c>
      <c r="B27" s="10" t="n">
        <v>0</v>
      </c>
      <c r="C27" s="10" t="n">
        <v>0</v>
      </c>
      <c r="D27" s="10" t="n">
        <v>17.93</v>
      </c>
      <c r="E27" s="10" t="n">
        <v>16.04</v>
      </c>
    </row>
    <row r="28" customFormat="false" ht="15" hidden="false" customHeight="false" outlineLevel="0" collapsed="false">
      <c r="A28" s="3" t="s">
        <v>218</v>
      </c>
      <c r="B28" s="10" t="n">
        <v>0</v>
      </c>
      <c r="C28" s="10" t="n">
        <v>0</v>
      </c>
      <c r="D28" s="10" t="n">
        <v>26.01</v>
      </c>
      <c r="E28" s="10" t="n">
        <v>7.9</v>
      </c>
    </row>
    <row r="29" customFormat="false" ht="15" hidden="false" customHeight="false" outlineLevel="0" collapsed="false">
      <c r="A29" s="3" t="s">
        <v>219</v>
      </c>
      <c r="B29" s="10" t="n">
        <v>8.19</v>
      </c>
      <c r="C29" s="10" t="n">
        <v>0</v>
      </c>
      <c r="D29" s="10" t="n">
        <v>8.48</v>
      </c>
      <c r="E29" s="10" t="n">
        <v>3.98</v>
      </c>
    </row>
    <row r="30" customFormat="false" ht="15" hidden="false" customHeight="false" outlineLevel="0" collapsed="false">
      <c r="A30" s="3" t="s">
        <v>220</v>
      </c>
      <c r="B30" s="10" t="n">
        <v>6.19</v>
      </c>
      <c r="C30" s="10" t="n">
        <v>11.52</v>
      </c>
      <c r="D30" s="10" t="n">
        <v>0</v>
      </c>
      <c r="E30" s="10" t="n">
        <v>6.7</v>
      </c>
    </row>
    <row r="31" customFormat="false" ht="15" hidden="false" customHeight="false" outlineLevel="0" collapsed="false">
      <c r="A31" s="3" t="s">
        <v>221</v>
      </c>
      <c r="B31" s="10" t="n">
        <v>0</v>
      </c>
      <c r="C31" s="10" t="n">
        <v>9.72</v>
      </c>
      <c r="D31" s="10" t="n">
        <v>0</v>
      </c>
      <c r="E31" s="10" t="n">
        <v>1.92</v>
      </c>
    </row>
  </sheetData>
  <mergeCells count="1">
    <mergeCell ref="A21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4" t="s">
        <v>222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5" t="s">
        <v>223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6" t="s">
        <v>224</v>
      </c>
      <c r="B4" s="6" t="s">
        <v>225</v>
      </c>
      <c r="C4" s="6" t="s">
        <v>226</v>
      </c>
      <c r="D4" s="6" t="s">
        <v>227</v>
      </c>
      <c r="E4" s="6" t="s">
        <v>228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23.85" hidden="false" customHeight="false" outlineLevel="0" collapsed="false">
      <c r="A5" s="3" t="s">
        <v>217</v>
      </c>
      <c r="B5" s="25" t="n">
        <v>75</v>
      </c>
      <c r="C5" s="26" t="s">
        <v>229</v>
      </c>
      <c r="D5" s="9" t="n">
        <v>44</v>
      </c>
      <c r="E5" s="9" t="n">
        <v>73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23.85" hidden="false" customHeight="false" outlineLevel="0" collapsed="false">
      <c r="A6" s="3" t="s">
        <v>218</v>
      </c>
      <c r="B6" s="25" t="n">
        <v>65</v>
      </c>
      <c r="C6" s="26" t="s">
        <v>230</v>
      </c>
      <c r="D6" s="9" t="n">
        <v>37.5</v>
      </c>
      <c r="E6" s="9" t="n">
        <v>66.25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customFormat="false" ht="15" hidden="false" customHeight="false" outlineLevel="0" collapsed="false">
      <c r="A7" s="3" t="s">
        <v>219</v>
      </c>
      <c r="B7" s="25" t="n">
        <v>65</v>
      </c>
      <c r="C7" s="26" t="s">
        <v>231</v>
      </c>
      <c r="D7" s="9" t="n">
        <v>32.5</v>
      </c>
      <c r="E7" s="9" t="n">
        <v>67.25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customFormat="false" ht="23.85" hidden="false" customHeight="false" outlineLevel="0" collapsed="false">
      <c r="A8" s="3" t="s">
        <v>220</v>
      </c>
      <c r="B8" s="25" t="n">
        <v>60</v>
      </c>
      <c r="C8" s="26" t="s">
        <v>232</v>
      </c>
      <c r="D8" s="9" t="n">
        <v>33.5</v>
      </c>
      <c r="E8" s="9" t="n">
        <v>62.5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23.85" hidden="false" customHeight="false" outlineLevel="0" collapsed="false">
      <c r="A9" s="3" t="s">
        <v>221</v>
      </c>
      <c r="B9" s="25" t="n">
        <v>80</v>
      </c>
      <c r="C9" s="26" t="s">
        <v>233</v>
      </c>
      <c r="D9" s="9" t="n">
        <v>51</v>
      </c>
      <c r="E9" s="9" t="n">
        <v>82.5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customFormat="false" ht="15" hidden="false" customHeight="false" outlineLevel="0" collapsed="false">
      <c r="A11" s="6" t="s">
        <v>234</v>
      </c>
      <c r="B11" s="6" t="s">
        <v>235</v>
      </c>
      <c r="C11" s="6"/>
      <c r="D11" s="6" t="s">
        <v>236</v>
      </c>
      <c r="E11" s="6" t="s">
        <v>237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5" hidden="false" customHeight="false" outlineLevel="0" collapsed="false">
      <c r="A12" s="3" t="s">
        <v>238</v>
      </c>
      <c r="B12" s="3" t="s">
        <v>239</v>
      </c>
      <c r="C12" s="3"/>
      <c r="D12" s="9" t="n">
        <v>27</v>
      </c>
      <c r="E12" s="8" t="n">
        <v>12.7795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false" outlineLevel="0" collapsed="false">
      <c r="A13" s="3" t="s">
        <v>240</v>
      </c>
      <c r="B13" s="3" t="s">
        <v>241</v>
      </c>
      <c r="C13" s="3"/>
      <c r="D13" s="9" t="n">
        <v>18</v>
      </c>
      <c r="E13" s="8" t="n">
        <v>8.2327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false" outlineLevel="0" collapsed="false">
      <c r="A14" s="3" t="s">
        <v>242</v>
      </c>
      <c r="B14" s="3" t="s">
        <v>243</v>
      </c>
      <c r="C14" s="3"/>
      <c r="D14" s="9" t="n">
        <v>86</v>
      </c>
      <c r="E14" s="8" t="n">
        <v>41.0641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5" hidden="false" customHeight="false" outlineLevel="0" collapsed="false">
      <c r="A15" s="3" t="s">
        <v>244</v>
      </c>
      <c r="B15" s="3" t="s">
        <v>245</v>
      </c>
      <c r="C15" s="3"/>
      <c r="D15" s="9" t="n">
        <v>74</v>
      </c>
      <c r="E15" s="8" t="n">
        <v>36.321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false" outlineLevel="0" collapsed="false">
      <c r="A16" s="3" t="s">
        <v>246</v>
      </c>
      <c r="B16" s="3" t="s">
        <v>247</v>
      </c>
      <c r="C16" s="3"/>
      <c r="D16" s="9" t="n">
        <v>11</v>
      </c>
      <c r="E16" s="8" t="n">
        <v>6.032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5" hidden="false" customHeight="false" outlineLevel="0" collapsed="false">
      <c r="A17" s="3" t="s">
        <v>248</v>
      </c>
      <c r="B17" s="3" t="s">
        <v>249</v>
      </c>
      <c r="C17" s="3"/>
      <c r="D17" s="9" t="n">
        <v>27</v>
      </c>
      <c r="E17" s="8" t="n">
        <v>11.5246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5" hidden="false" customHeight="false" outlineLevel="0" collapsed="false">
      <c r="A18" s="3" t="s">
        <v>250</v>
      </c>
      <c r="B18" s="3" t="s">
        <v>251</v>
      </c>
      <c r="C18" s="3"/>
      <c r="D18" s="9" t="n">
        <v>148</v>
      </c>
      <c r="E18" s="8" t="n">
        <v>70.6603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5" hidden="false" customHeight="false" outlineLevel="0" collapsed="false">
      <c r="A20" s="3" t="s">
        <v>252</v>
      </c>
      <c r="B20" s="3"/>
      <c r="C20" s="3"/>
      <c r="D20" s="3"/>
      <c r="E20" s="8" t="n">
        <v>124.5977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15" hidden="false" customHeight="false" outlineLevel="0" collapsed="false">
      <c r="A21" s="3" t="s">
        <v>253</v>
      </c>
      <c r="B21" s="3"/>
      <c r="C21" s="3"/>
      <c r="D21" s="3"/>
      <c r="E21" s="27" t="n">
        <f aca="false">E18/E20</f>
        <v>0.567107579032358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Format="false" ht="15" hidden="false" customHeight="false" outlineLevel="0" collapsed="false">
      <c r="A22" s="3" t="s">
        <v>254</v>
      </c>
      <c r="B22" s="3"/>
      <c r="C22" s="3"/>
      <c r="D22" s="8" t="n">
        <v>77.9702</v>
      </c>
      <c r="E22" s="8" t="n">
        <v>34.0898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15" hidden="false" customHeight="false" outlineLevel="0" collapsed="false">
      <c r="A23" s="3" t="s">
        <v>255</v>
      </c>
      <c r="B23" s="3"/>
      <c r="C23" s="3"/>
      <c r="D23" s="3"/>
      <c r="E23" s="28" t="n">
        <f aca="false">E22/17.15</f>
        <v>1.98774344023324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false" outlineLevel="0" collapsed="false">
      <c r="A25" s="1" t="s">
        <v>256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35.05" hidden="false" customHeight="false" outlineLevel="0" collapsed="false">
      <c r="A26" s="6" t="s">
        <v>257</v>
      </c>
      <c r="B26" s="6" t="s">
        <v>212</v>
      </c>
      <c r="C26" s="6" t="s">
        <v>258</v>
      </c>
      <c r="D26" s="6" t="s">
        <v>259</v>
      </c>
      <c r="E26" s="6" t="s">
        <v>260</v>
      </c>
      <c r="F26" s="6" t="s">
        <v>261</v>
      </c>
      <c r="G26" s="6" t="s">
        <v>262</v>
      </c>
      <c r="H26" s="6" t="s">
        <v>263</v>
      </c>
      <c r="I26" s="6" t="s">
        <v>264</v>
      </c>
      <c r="J26" s="6" t="s">
        <v>265</v>
      </c>
      <c r="K26" s="6" t="s">
        <v>266</v>
      </c>
      <c r="L26" s="6" t="s">
        <v>267</v>
      </c>
      <c r="M26" s="6" t="s">
        <v>268</v>
      </c>
      <c r="N26" s="6" t="s">
        <v>269</v>
      </c>
      <c r="O26" s="6" t="s">
        <v>270</v>
      </c>
    </row>
    <row r="27" customFormat="false" ht="15" hidden="false" customHeight="false" outlineLevel="0" collapsed="false">
      <c r="A27" s="3" t="s">
        <v>271</v>
      </c>
      <c r="B27" s="3" t="s">
        <v>220</v>
      </c>
      <c r="C27" s="3" t="s">
        <v>213</v>
      </c>
      <c r="D27" s="10" t="n">
        <v>1.8842</v>
      </c>
      <c r="E27" s="29" t="n">
        <v>46133</v>
      </c>
      <c r="F27" s="3" t="n">
        <v>0</v>
      </c>
      <c r="G27" s="3" t="n">
        <v>20</v>
      </c>
      <c r="H27" s="3" t="n">
        <v>1</v>
      </c>
      <c r="I27" s="3" t="s">
        <v>272</v>
      </c>
      <c r="J27" s="30" t="b">
        <f aca="false">FALSE()</f>
        <v>0</v>
      </c>
      <c r="K27" s="30" t="b">
        <f aca="false">FALSE()</f>
        <v>0</v>
      </c>
      <c r="L27" s="30" t="b">
        <f aca="false">FALSE()</f>
        <v>0</v>
      </c>
      <c r="M27" s="30" t="b">
        <f aca="false">TRUE()</f>
        <v>1</v>
      </c>
      <c r="N27" s="30" t="b">
        <f aca="false">FALSE()</f>
        <v>0</v>
      </c>
      <c r="O27" s="30" t="b">
        <f aca="false">FALSE()</f>
        <v>0</v>
      </c>
    </row>
    <row r="28" customFormat="false" ht="15" hidden="false" customHeight="false" outlineLevel="0" collapsed="false">
      <c r="A28" s="3" t="s">
        <v>273</v>
      </c>
      <c r="B28" s="3" t="s">
        <v>221</v>
      </c>
      <c r="C28" s="3" t="s">
        <v>214</v>
      </c>
      <c r="D28" s="10" t="n">
        <v>1.171</v>
      </c>
      <c r="E28" s="29" t="n">
        <v>46111</v>
      </c>
      <c r="F28" s="3" t="n">
        <v>0</v>
      </c>
      <c r="G28" s="3" t="n">
        <v>22</v>
      </c>
      <c r="H28" s="3" t="n">
        <v>1</v>
      </c>
      <c r="I28" s="3" t="s">
        <v>274</v>
      </c>
      <c r="J28" s="30" t="b">
        <f aca="false">TRUE()</f>
        <v>1</v>
      </c>
      <c r="K28" s="30" t="b">
        <f aca="false">FALSE()</f>
        <v>0</v>
      </c>
      <c r="L28" s="30" t="b">
        <f aca="false">FALSE()</f>
        <v>0</v>
      </c>
      <c r="M28" s="30" t="b">
        <f aca="false">TRUE()</f>
        <v>1</v>
      </c>
      <c r="N28" s="30" t="b">
        <f aca="false">FALSE()</f>
        <v>0</v>
      </c>
      <c r="O28" s="30" t="b">
        <f aca="false">FALSE()</f>
        <v>0</v>
      </c>
    </row>
    <row r="29" customFormat="false" ht="15" hidden="false" customHeight="false" outlineLevel="0" collapsed="false">
      <c r="A29" s="3" t="s">
        <v>275</v>
      </c>
      <c r="B29" s="3" t="s">
        <v>219</v>
      </c>
      <c r="C29" s="3" t="s">
        <v>213</v>
      </c>
      <c r="D29" s="10" t="n">
        <v>1.156</v>
      </c>
      <c r="E29" s="29" t="n">
        <v>46200</v>
      </c>
      <c r="F29" s="3" t="n">
        <v>1</v>
      </c>
      <c r="G29" s="3" t="n">
        <v>203</v>
      </c>
      <c r="H29" s="3" t="n">
        <v>5</v>
      </c>
      <c r="I29" s="3" t="s">
        <v>276</v>
      </c>
      <c r="J29" s="30" t="b">
        <f aca="false">FALSE()</f>
        <v>0</v>
      </c>
      <c r="K29" s="30" t="b">
        <f aca="false">FALSE()</f>
        <v>0</v>
      </c>
      <c r="L29" s="30" t="b">
        <f aca="false">TRUE()</f>
        <v>1</v>
      </c>
      <c r="M29" s="30" t="b">
        <f aca="false">FALSE()</f>
        <v>0</v>
      </c>
      <c r="N29" s="30" t="b">
        <f aca="false">FALSE()</f>
        <v>0</v>
      </c>
      <c r="O29" s="30" t="b">
        <f aca="false">FALSE()</f>
        <v>0</v>
      </c>
    </row>
    <row r="30" customFormat="false" ht="15" hidden="false" customHeight="false" outlineLevel="0" collapsed="false">
      <c r="A30" s="3" t="s">
        <v>277</v>
      </c>
      <c r="B30" s="3" t="s">
        <v>219</v>
      </c>
      <c r="C30" s="3" t="s">
        <v>216</v>
      </c>
      <c r="D30" s="10" t="n">
        <v>1.1036</v>
      </c>
      <c r="E30" s="29" t="n">
        <v>46225</v>
      </c>
      <c r="F30" s="3" t="n">
        <v>0</v>
      </c>
      <c r="G30" s="3" t="n">
        <v>6</v>
      </c>
      <c r="H30" s="3" t="n">
        <v>1</v>
      </c>
      <c r="I30" s="3" t="s">
        <v>278</v>
      </c>
      <c r="J30" s="30" t="b">
        <f aca="false">FALSE()</f>
        <v>0</v>
      </c>
      <c r="K30" s="30" t="b">
        <f aca="false">FALSE()</f>
        <v>0</v>
      </c>
      <c r="L30" s="30" t="b">
        <f aca="false">FALSE()</f>
        <v>0</v>
      </c>
      <c r="M30" s="30" t="b">
        <f aca="false">TRUE()</f>
        <v>1</v>
      </c>
      <c r="N30" s="30" t="b">
        <f aca="false">FALSE()</f>
        <v>0</v>
      </c>
      <c r="O30" s="30" t="b">
        <f aca="false">FALSE()</f>
        <v>0</v>
      </c>
    </row>
    <row r="31" customFormat="false" ht="15" hidden="false" customHeight="false" outlineLevel="0" collapsed="false">
      <c r="A31" s="3" t="s">
        <v>279</v>
      </c>
      <c r="B31" s="3" t="s">
        <v>219</v>
      </c>
      <c r="C31" s="3" t="s">
        <v>215</v>
      </c>
      <c r="D31" s="10" t="n">
        <v>0.9533</v>
      </c>
      <c r="E31" s="29" t="n">
        <v>46100</v>
      </c>
      <c r="F31" s="3" t="n">
        <v>0</v>
      </c>
      <c r="G31" s="3" t="n">
        <v>13</v>
      </c>
      <c r="H31" s="3" t="n">
        <v>1</v>
      </c>
      <c r="I31" s="3" t="s">
        <v>280</v>
      </c>
      <c r="J31" s="30" t="b">
        <f aca="false">TRUE()</f>
        <v>1</v>
      </c>
      <c r="K31" s="30" t="b">
        <f aca="false">FALSE()</f>
        <v>0</v>
      </c>
      <c r="L31" s="30" t="b">
        <f aca="false">FALSE()</f>
        <v>0</v>
      </c>
      <c r="M31" s="30" t="b">
        <f aca="false">TRUE()</f>
        <v>1</v>
      </c>
      <c r="N31" s="30" t="b">
        <f aca="false">FALSE()</f>
        <v>0</v>
      </c>
      <c r="O31" s="30" t="b">
        <f aca="false">FALSE()</f>
        <v>0</v>
      </c>
    </row>
    <row r="32" customFormat="false" ht="15" hidden="false" customHeight="false" outlineLevel="0" collapsed="false">
      <c r="A32" s="3" t="s">
        <v>281</v>
      </c>
      <c r="B32" s="3" t="s">
        <v>220</v>
      </c>
      <c r="C32" s="3" t="s">
        <v>216</v>
      </c>
      <c r="D32" s="10" t="n">
        <v>0.9503</v>
      </c>
      <c r="E32" s="29" t="n">
        <v>46206</v>
      </c>
      <c r="F32" s="3" t="n">
        <v>1</v>
      </c>
      <c r="G32" s="3" t="n">
        <v>105</v>
      </c>
      <c r="H32" s="3" t="n">
        <v>4</v>
      </c>
      <c r="I32" s="3" t="s">
        <v>282</v>
      </c>
      <c r="J32" s="30" t="b">
        <f aca="false">FALSE()</f>
        <v>0</v>
      </c>
      <c r="K32" s="30" t="b">
        <f aca="false">FALSE()</f>
        <v>0</v>
      </c>
      <c r="L32" s="30" t="b">
        <f aca="false">TRUE()</f>
        <v>1</v>
      </c>
      <c r="M32" s="30" t="b">
        <f aca="false">FALSE()</f>
        <v>0</v>
      </c>
      <c r="N32" s="30" t="b">
        <f aca="false">FALSE()</f>
        <v>0</v>
      </c>
      <c r="O32" s="30" t="b">
        <f aca="false">FALSE()</f>
        <v>0</v>
      </c>
    </row>
    <row r="33" customFormat="false" ht="15" hidden="false" customHeight="false" outlineLevel="0" collapsed="false">
      <c r="A33" s="3" t="s">
        <v>283</v>
      </c>
      <c r="B33" s="3" t="s">
        <v>220</v>
      </c>
      <c r="C33" s="3" t="s">
        <v>214</v>
      </c>
      <c r="D33" s="10" t="n">
        <v>0.9327</v>
      </c>
      <c r="E33" s="29" t="n">
        <v>46152</v>
      </c>
      <c r="F33" s="3" t="n">
        <v>1</v>
      </c>
      <c r="G33" s="3" t="n">
        <v>12</v>
      </c>
      <c r="H33" s="3" t="n">
        <v>3</v>
      </c>
      <c r="I33" s="3" t="s">
        <v>284</v>
      </c>
      <c r="J33" s="30" t="b">
        <f aca="false">FALSE()</f>
        <v>0</v>
      </c>
      <c r="K33" s="30" t="b">
        <f aca="false">FALSE()</f>
        <v>0</v>
      </c>
      <c r="L33" s="30" t="b">
        <f aca="false">FALSE()</f>
        <v>0</v>
      </c>
      <c r="M33" s="30" t="b">
        <f aca="false">FALSE()</f>
        <v>0</v>
      </c>
      <c r="N33" s="30" t="b">
        <f aca="false">FALSE()</f>
        <v>0</v>
      </c>
      <c r="O33" s="30" t="b">
        <f aca="false">TRUE()</f>
        <v>1</v>
      </c>
    </row>
    <row r="34" customFormat="false" ht="15" hidden="false" customHeight="false" outlineLevel="0" collapsed="false">
      <c r="A34" s="3" t="s">
        <v>285</v>
      </c>
      <c r="B34" s="3" t="s">
        <v>219</v>
      </c>
      <c r="C34" s="3" t="s">
        <v>216</v>
      </c>
      <c r="D34" s="10" t="n">
        <v>0.9293</v>
      </c>
      <c r="E34" s="29" t="n">
        <v>46207</v>
      </c>
      <c r="F34" s="3" t="n">
        <v>1</v>
      </c>
      <c r="G34" s="3" t="n">
        <v>151</v>
      </c>
      <c r="H34" s="3" t="n">
        <v>1</v>
      </c>
      <c r="I34" s="3" t="s">
        <v>286</v>
      </c>
      <c r="J34" s="30" t="b">
        <f aca="false">FALSE()</f>
        <v>0</v>
      </c>
      <c r="K34" s="30" t="b">
        <f aca="false">FALSE()</f>
        <v>0</v>
      </c>
      <c r="L34" s="30" t="b">
        <f aca="false">TRUE()</f>
        <v>1</v>
      </c>
      <c r="M34" s="30" t="b">
        <f aca="false">TRUE()</f>
        <v>1</v>
      </c>
      <c r="N34" s="30" t="b">
        <f aca="false">FALSE()</f>
        <v>0</v>
      </c>
      <c r="O34" s="30" t="b">
        <f aca="false">FALSE()</f>
        <v>0</v>
      </c>
    </row>
    <row r="35" customFormat="false" ht="15" hidden="false" customHeight="false" outlineLevel="0" collapsed="false">
      <c r="A35" s="3" t="s">
        <v>287</v>
      </c>
      <c r="B35" s="3" t="s">
        <v>221</v>
      </c>
      <c r="C35" s="3" t="s">
        <v>214</v>
      </c>
      <c r="D35" s="10" t="n">
        <v>0.9258</v>
      </c>
      <c r="E35" s="29" t="n">
        <v>46142</v>
      </c>
      <c r="F35" s="3" t="n">
        <v>1</v>
      </c>
      <c r="G35" s="3" t="n">
        <v>13</v>
      </c>
      <c r="H35" s="3" t="n">
        <v>1</v>
      </c>
      <c r="I35" s="3" t="s">
        <v>288</v>
      </c>
      <c r="J35" s="30" t="b">
        <f aca="false">FALSE()</f>
        <v>0</v>
      </c>
      <c r="K35" s="30" t="b">
        <f aca="false">FALSE()</f>
        <v>0</v>
      </c>
      <c r="L35" s="30" t="b">
        <f aca="false">FALSE()</f>
        <v>0</v>
      </c>
      <c r="M35" s="30" t="b">
        <f aca="false">TRUE()</f>
        <v>1</v>
      </c>
      <c r="N35" s="30" t="b">
        <f aca="false">FALSE()</f>
        <v>0</v>
      </c>
      <c r="O35" s="30" t="b">
        <f aca="false">FALSE()</f>
        <v>0</v>
      </c>
    </row>
    <row r="36" customFormat="false" ht="15" hidden="false" customHeight="false" outlineLevel="0" collapsed="false">
      <c r="A36" s="3" t="s">
        <v>289</v>
      </c>
      <c r="B36" s="3" t="s">
        <v>220</v>
      </c>
      <c r="C36" s="3" t="s">
        <v>214</v>
      </c>
      <c r="D36" s="10" t="n">
        <v>0.9053</v>
      </c>
      <c r="E36" s="29" t="n">
        <v>46027</v>
      </c>
      <c r="F36" s="3" t="n">
        <v>2</v>
      </c>
      <c r="G36" s="3" t="n">
        <v>167</v>
      </c>
      <c r="H36" s="3" t="n">
        <v>1</v>
      </c>
      <c r="I36" s="3" t="s">
        <v>290</v>
      </c>
      <c r="J36" s="30" t="b">
        <f aca="false">TRUE()</f>
        <v>1</v>
      </c>
      <c r="K36" s="30" t="b">
        <f aca="false">TRUE()</f>
        <v>1</v>
      </c>
      <c r="L36" s="30" t="b">
        <f aca="false">TRUE()</f>
        <v>1</v>
      </c>
      <c r="M36" s="30" t="b">
        <f aca="false">TRUE()</f>
        <v>1</v>
      </c>
      <c r="N36" s="30" t="b">
        <f aca="false">TRUE()</f>
        <v>1</v>
      </c>
      <c r="O36" s="30" t="b">
        <f aca="false">TRUE()</f>
        <v>1</v>
      </c>
    </row>
    <row r="37" customFormat="false" ht="15" hidden="false" customHeight="false" outlineLevel="0" collapsed="false">
      <c r="A37" s="3" t="s">
        <v>291</v>
      </c>
      <c r="B37" s="3" t="s">
        <v>221</v>
      </c>
      <c r="C37" s="3" t="s">
        <v>214</v>
      </c>
      <c r="D37" s="10" t="n">
        <v>0.8245</v>
      </c>
      <c r="E37" s="29" t="n">
        <v>46167</v>
      </c>
      <c r="F37" s="3" t="n">
        <v>0</v>
      </c>
      <c r="G37" s="3" t="n">
        <v>34</v>
      </c>
      <c r="H37" s="3" t="n">
        <v>1</v>
      </c>
      <c r="I37" s="3" t="s">
        <v>274</v>
      </c>
      <c r="J37" s="30" t="b">
        <f aca="false">FALSE()</f>
        <v>0</v>
      </c>
      <c r="K37" s="30" t="b">
        <f aca="false">FALSE()</f>
        <v>0</v>
      </c>
      <c r="L37" s="30" t="b">
        <f aca="false">FALSE()</f>
        <v>0</v>
      </c>
      <c r="M37" s="30" t="b">
        <f aca="false">TRUE()</f>
        <v>1</v>
      </c>
      <c r="N37" s="30" t="b">
        <f aca="false">FALSE()</f>
        <v>0</v>
      </c>
      <c r="O37" s="30" t="b">
        <f aca="false">FALSE()</f>
        <v>0</v>
      </c>
    </row>
    <row r="38" customFormat="false" ht="15" hidden="false" customHeight="false" outlineLevel="0" collapsed="false">
      <c r="A38" s="3" t="s">
        <v>292</v>
      </c>
      <c r="B38" s="3" t="s">
        <v>220</v>
      </c>
      <c r="C38" s="3" t="s">
        <v>216</v>
      </c>
      <c r="D38" s="10" t="n">
        <v>0.8117</v>
      </c>
      <c r="E38" s="29" t="n">
        <v>45858</v>
      </c>
      <c r="F38" s="3" t="n">
        <v>1</v>
      </c>
      <c r="G38" s="3" t="n">
        <v>325</v>
      </c>
      <c r="H38" s="3" t="n">
        <v>1</v>
      </c>
      <c r="I38" s="3" t="s">
        <v>293</v>
      </c>
      <c r="J38" s="30" t="b">
        <f aca="false">TRUE()</f>
        <v>1</v>
      </c>
      <c r="K38" s="30" t="b">
        <f aca="false">FALSE()</f>
        <v>0</v>
      </c>
      <c r="L38" s="30" t="b">
        <f aca="false">TRUE()</f>
        <v>1</v>
      </c>
      <c r="M38" s="30" t="b">
        <f aca="false">TRUE()</f>
        <v>1</v>
      </c>
      <c r="N38" s="30" t="b">
        <f aca="false">TRUE()</f>
        <v>1</v>
      </c>
      <c r="O38" s="30" t="b">
        <f aca="false">FALSE()</f>
        <v>0</v>
      </c>
    </row>
    <row r="39" customFormat="false" ht="15" hidden="false" customHeight="false" outlineLevel="0" collapsed="false">
      <c r="A39" s="3" t="s">
        <v>294</v>
      </c>
      <c r="B39" s="3" t="s">
        <v>217</v>
      </c>
      <c r="C39" s="3" t="s">
        <v>215</v>
      </c>
      <c r="D39" s="10" t="n">
        <v>0.8095</v>
      </c>
      <c r="E39" s="29" t="n">
        <v>46157</v>
      </c>
      <c r="F39" s="3" t="n">
        <v>0</v>
      </c>
      <c r="G39" s="3" t="n">
        <v>110</v>
      </c>
      <c r="H39" s="3" t="n">
        <v>1</v>
      </c>
      <c r="I39" s="3" t="s">
        <v>295</v>
      </c>
      <c r="J39" s="30" t="b">
        <f aca="false">FALSE()</f>
        <v>0</v>
      </c>
      <c r="K39" s="30" t="b">
        <f aca="false">FALSE()</f>
        <v>0</v>
      </c>
      <c r="L39" s="30" t="b">
        <f aca="false">TRUE()</f>
        <v>1</v>
      </c>
      <c r="M39" s="30" t="b">
        <f aca="false">FALSE()</f>
        <v>0</v>
      </c>
      <c r="N39" s="30" t="b">
        <f aca="false">FALSE()</f>
        <v>0</v>
      </c>
      <c r="O39" s="30" t="b">
        <f aca="false">FALSE()</f>
        <v>0</v>
      </c>
    </row>
    <row r="40" customFormat="false" ht="15" hidden="false" customHeight="false" outlineLevel="0" collapsed="false">
      <c r="A40" s="3" t="s">
        <v>296</v>
      </c>
      <c r="B40" s="3" t="s">
        <v>220</v>
      </c>
      <c r="C40" s="3" t="s">
        <v>214</v>
      </c>
      <c r="D40" s="10" t="n">
        <v>0.8039</v>
      </c>
      <c r="E40" s="29" t="n">
        <v>46189</v>
      </c>
      <c r="F40" s="3" t="n">
        <v>0</v>
      </c>
      <c r="G40" s="3" t="n">
        <v>18</v>
      </c>
      <c r="H40" s="3" t="n">
        <v>1</v>
      </c>
      <c r="I40" s="3" t="s">
        <v>297</v>
      </c>
      <c r="J40" s="30" t="b">
        <f aca="false">FALSE()</f>
        <v>0</v>
      </c>
      <c r="K40" s="30" t="b">
        <f aca="false">FALSE()</f>
        <v>0</v>
      </c>
      <c r="L40" s="30" t="b">
        <f aca="false">FALSE()</f>
        <v>0</v>
      </c>
      <c r="M40" s="30" t="b">
        <f aca="false">TRUE()</f>
        <v>1</v>
      </c>
      <c r="N40" s="30" t="b">
        <f aca="false">FALSE()</f>
        <v>0</v>
      </c>
      <c r="O40" s="30" t="b">
        <f aca="false">TRUE()</f>
        <v>1</v>
      </c>
    </row>
    <row r="41" customFormat="false" ht="15" hidden="false" customHeight="false" outlineLevel="0" collapsed="false">
      <c r="A41" s="3" t="s">
        <v>298</v>
      </c>
      <c r="B41" s="3" t="s">
        <v>218</v>
      </c>
      <c r="C41" s="3" t="s">
        <v>215</v>
      </c>
      <c r="D41" s="10" t="n">
        <v>0.7963</v>
      </c>
      <c r="E41" s="29" t="n">
        <v>46160</v>
      </c>
      <c r="F41" s="3" t="n">
        <v>1</v>
      </c>
      <c r="G41" s="3" t="n">
        <v>113</v>
      </c>
      <c r="H41" s="3" t="n">
        <v>1</v>
      </c>
      <c r="I41" s="3" t="s">
        <v>286</v>
      </c>
      <c r="J41" s="30" t="b">
        <f aca="false">FALSE()</f>
        <v>0</v>
      </c>
      <c r="K41" s="30" t="b">
        <f aca="false">FALSE()</f>
        <v>0</v>
      </c>
      <c r="L41" s="30" t="b">
        <f aca="false">TRUE()</f>
        <v>1</v>
      </c>
      <c r="M41" s="30" t="b">
        <f aca="false">FALSE()</f>
        <v>0</v>
      </c>
      <c r="N41" s="30" t="b">
        <f aca="false">FALSE()</f>
        <v>0</v>
      </c>
      <c r="O41" s="30" t="b">
        <f aca="false">FALSE()</f>
        <v>0</v>
      </c>
    </row>
    <row r="42" customFormat="false" ht="15" hidden="false" customHeight="false" outlineLevel="0" collapsed="false">
      <c r="A42" s="3" t="s">
        <v>299</v>
      </c>
      <c r="B42" s="3" t="s">
        <v>220</v>
      </c>
      <c r="C42" s="3" t="s">
        <v>216</v>
      </c>
      <c r="D42" s="10" t="n">
        <v>0.7917</v>
      </c>
      <c r="E42" s="29" t="n">
        <v>46244</v>
      </c>
      <c r="F42" s="3" t="n">
        <v>0</v>
      </c>
      <c r="G42" s="3" t="n">
        <v>39</v>
      </c>
      <c r="H42" s="3" t="n">
        <v>1</v>
      </c>
      <c r="I42" s="3" t="s">
        <v>300</v>
      </c>
      <c r="J42" s="30" t="b">
        <f aca="false">FALSE()</f>
        <v>0</v>
      </c>
      <c r="K42" s="30" t="b">
        <f aca="false">FALSE()</f>
        <v>0</v>
      </c>
      <c r="L42" s="30" t="b">
        <f aca="false">FALSE()</f>
        <v>0</v>
      </c>
      <c r="M42" s="30" t="b">
        <f aca="false">TRUE()</f>
        <v>1</v>
      </c>
      <c r="N42" s="30" t="b">
        <f aca="false">FALSE()</f>
        <v>0</v>
      </c>
      <c r="O42" s="30" t="b">
        <f aca="false">FALSE()</f>
        <v>0</v>
      </c>
    </row>
    <row r="43" customFormat="false" ht="15" hidden="false" customHeight="false" outlineLevel="0" collapsed="false">
      <c r="A43" s="3" t="s">
        <v>301</v>
      </c>
      <c r="B43" s="3" t="s">
        <v>219</v>
      </c>
      <c r="C43" s="3" t="s">
        <v>215</v>
      </c>
      <c r="D43" s="10" t="n">
        <v>0.7844</v>
      </c>
      <c r="E43" s="29" t="n">
        <v>46165</v>
      </c>
      <c r="F43" s="3" t="n">
        <v>1</v>
      </c>
      <c r="G43" s="3" t="n">
        <v>50</v>
      </c>
      <c r="H43" s="3" t="n">
        <v>1</v>
      </c>
      <c r="I43" s="3" t="s">
        <v>272</v>
      </c>
      <c r="J43" s="30" t="b">
        <f aca="false">FALSE()</f>
        <v>0</v>
      </c>
      <c r="K43" s="30" t="b">
        <f aca="false">FALSE()</f>
        <v>0</v>
      </c>
      <c r="L43" s="30" t="b">
        <f aca="false">FALSE()</f>
        <v>0</v>
      </c>
      <c r="M43" s="30" t="b">
        <f aca="false">TRUE()</f>
        <v>1</v>
      </c>
      <c r="N43" s="30" t="b">
        <f aca="false">FALSE()</f>
        <v>0</v>
      </c>
      <c r="O43" s="30" t="b">
        <f aca="false">FALSE()</f>
        <v>0</v>
      </c>
    </row>
    <row r="44" customFormat="false" ht="15" hidden="false" customHeight="false" outlineLevel="0" collapsed="false">
      <c r="A44" s="3" t="s">
        <v>302</v>
      </c>
      <c r="B44" s="3" t="s">
        <v>218</v>
      </c>
      <c r="C44" s="3" t="s">
        <v>215</v>
      </c>
      <c r="D44" s="10" t="n">
        <v>0.764</v>
      </c>
      <c r="E44" s="29" t="n">
        <v>46115</v>
      </c>
      <c r="F44" s="3" t="n">
        <v>1</v>
      </c>
      <c r="G44" s="3" t="n">
        <v>87</v>
      </c>
      <c r="H44" s="3" t="n">
        <v>1</v>
      </c>
      <c r="I44" s="3" t="s">
        <v>303</v>
      </c>
      <c r="J44" s="30" t="b">
        <f aca="false">FALSE()</f>
        <v>0</v>
      </c>
      <c r="K44" s="30" t="b">
        <f aca="false">FALSE()</f>
        <v>0</v>
      </c>
      <c r="L44" s="30" t="b">
        <f aca="false">TRUE()</f>
        <v>1</v>
      </c>
      <c r="M44" s="30" t="b">
        <f aca="false">FALSE()</f>
        <v>0</v>
      </c>
      <c r="N44" s="30" t="b">
        <f aca="false">FALSE()</f>
        <v>0</v>
      </c>
      <c r="O44" s="30" t="b">
        <f aca="false">FALSE()</f>
        <v>0</v>
      </c>
    </row>
    <row r="45" customFormat="false" ht="15" hidden="false" customHeight="false" outlineLevel="0" collapsed="false">
      <c r="A45" s="3" t="s">
        <v>304</v>
      </c>
      <c r="B45" s="3" t="s">
        <v>220</v>
      </c>
      <c r="C45" s="3" t="s">
        <v>213</v>
      </c>
      <c r="D45" s="10" t="n">
        <v>0.7604</v>
      </c>
      <c r="E45" s="29" t="n">
        <v>46152</v>
      </c>
      <c r="F45" s="3" t="n">
        <v>0</v>
      </c>
      <c r="G45" s="3" t="n">
        <v>2</v>
      </c>
      <c r="H45" s="3" t="n">
        <v>1</v>
      </c>
      <c r="I45" s="3" t="s">
        <v>282</v>
      </c>
      <c r="J45" s="30" t="b">
        <f aca="false">FALSE()</f>
        <v>0</v>
      </c>
      <c r="K45" s="30" t="b">
        <f aca="false">FALSE()</f>
        <v>0</v>
      </c>
      <c r="L45" s="30" t="b">
        <f aca="false">FALSE()</f>
        <v>0</v>
      </c>
      <c r="M45" s="30" t="b">
        <f aca="false">TRUE()</f>
        <v>1</v>
      </c>
      <c r="N45" s="30" t="b">
        <f aca="false">FALSE()</f>
        <v>0</v>
      </c>
      <c r="O45" s="30" t="b">
        <f aca="false">FALSE()</f>
        <v>0</v>
      </c>
    </row>
    <row r="46" customFormat="false" ht="15" hidden="false" customHeight="false" outlineLevel="0" collapsed="false">
      <c r="A46" s="3" t="s">
        <v>305</v>
      </c>
      <c r="B46" s="3" t="s">
        <v>218</v>
      </c>
      <c r="C46" s="3" t="s">
        <v>215</v>
      </c>
      <c r="D46" s="10" t="n">
        <v>0.7582</v>
      </c>
      <c r="E46" s="29" t="n">
        <v>46113</v>
      </c>
      <c r="F46" s="3" t="n">
        <v>0</v>
      </c>
      <c r="G46" s="3" t="n">
        <v>119</v>
      </c>
      <c r="H46" s="3" t="n">
        <v>5</v>
      </c>
      <c r="I46" s="3" t="s">
        <v>306</v>
      </c>
      <c r="J46" s="30" t="b">
        <f aca="false">FALSE()</f>
        <v>0</v>
      </c>
      <c r="K46" s="30" t="b">
        <f aca="false">FALSE()</f>
        <v>0</v>
      </c>
      <c r="L46" s="30" t="b">
        <f aca="false">TRUE()</f>
        <v>1</v>
      </c>
      <c r="M46" s="30" t="b">
        <f aca="false">FALSE()</f>
        <v>0</v>
      </c>
      <c r="N46" s="30" t="b">
        <f aca="false">FALSE()</f>
        <v>0</v>
      </c>
      <c r="O46" s="30" t="b">
        <f aca="false">FALSE()</f>
        <v>0</v>
      </c>
    </row>
    <row r="47" customFormat="false" ht="15" hidden="false" customHeight="false" outlineLevel="0" collapsed="false">
      <c r="A47" s="3" t="s">
        <v>307</v>
      </c>
      <c r="B47" s="3" t="s">
        <v>220</v>
      </c>
      <c r="C47" s="3" t="s">
        <v>214</v>
      </c>
      <c r="D47" s="10" t="n">
        <v>0.7575</v>
      </c>
      <c r="E47" s="29" t="n">
        <v>46198</v>
      </c>
      <c r="F47" s="3" t="n">
        <v>2</v>
      </c>
      <c r="G47" s="3" t="n">
        <v>67</v>
      </c>
      <c r="H47" s="3" t="n">
        <v>1</v>
      </c>
      <c r="I47" s="3" t="s">
        <v>308</v>
      </c>
      <c r="J47" s="30" t="b">
        <f aca="false">FALSE()</f>
        <v>0</v>
      </c>
      <c r="K47" s="30" t="b">
        <f aca="false">TRUE()</f>
        <v>1</v>
      </c>
      <c r="L47" s="30" t="b">
        <f aca="false">TRUE()</f>
        <v>1</v>
      </c>
      <c r="M47" s="30" t="b">
        <f aca="false">TRUE()</f>
        <v>1</v>
      </c>
      <c r="N47" s="30" t="b">
        <f aca="false">FALSE()</f>
        <v>0</v>
      </c>
      <c r="O47" s="30" t="b">
        <f aca="false">TRUE()</f>
        <v>1</v>
      </c>
    </row>
    <row r="48" customFormat="false" ht="15" hidden="false" customHeight="false" outlineLevel="0" collapsed="false">
      <c r="A48" s="3" t="s">
        <v>309</v>
      </c>
      <c r="B48" s="3" t="s">
        <v>218</v>
      </c>
      <c r="C48" s="3" t="s">
        <v>216</v>
      </c>
      <c r="D48" s="10" t="n">
        <v>0.7571</v>
      </c>
      <c r="E48" s="29" t="n">
        <v>46222</v>
      </c>
      <c r="F48" s="3" t="n">
        <v>1</v>
      </c>
      <c r="G48" s="3" t="n">
        <v>114</v>
      </c>
      <c r="H48" s="3" t="n">
        <v>1</v>
      </c>
      <c r="I48" s="3" t="s">
        <v>310</v>
      </c>
      <c r="J48" s="30" t="b">
        <f aca="false">FALSE()</f>
        <v>0</v>
      </c>
      <c r="K48" s="30" t="b">
        <f aca="false">FALSE()</f>
        <v>0</v>
      </c>
      <c r="L48" s="30" t="b">
        <f aca="false">TRUE()</f>
        <v>1</v>
      </c>
      <c r="M48" s="30" t="b">
        <f aca="false">FALSE()</f>
        <v>0</v>
      </c>
      <c r="N48" s="30" t="b">
        <f aca="false">FALSE()</f>
        <v>0</v>
      </c>
      <c r="O48" s="30" t="b">
        <f aca="false">FALSE()</f>
        <v>0</v>
      </c>
    </row>
    <row r="49" customFormat="false" ht="15" hidden="false" customHeight="false" outlineLevel="0" collapsed="false">
      <c r="A49" s="3" t="s">
        <v>311</v>
      </c>
      <c r="B49" s="3" t="s">
        <v>220</v>
      </c>
      <c r="C49" s="3" t="s">
        <v>216</v>
      </c>
      <c r="D49" s="10" t="n">
        <v>0.742</v>
      </c>
      <c r="E49" s="29" t="n">
        <v>46214</v>
      </c>
      <c r="F49" s="3" t="n">
        <v>1</v>
      </c>
      <c r="G49" s="3" t="n">
        <v>27</v>
      </c>
      <c r="H49" s="3" t="n">
        <v>1</v>
      </c>
      <c r="I49" s="3" t="s">
        <v>297</v>
      </c>
      <c r="J49" s="30" t="b">
        <f aca="false">FALSE()</f>
        <v>0</v>
      </c>
      <c r="K49" s="30" t="b">
        <f aca="false">FALSE()</f>
        <v>0</v>
      </c>
      <c r="L49" s="30" t="b">
        <f aca="false">FALSE()</f>
        <v>0</v>
      </c>
      <c r="M49" s="30" t="b">
        <f aca="false">TRUE()</f>
        <v>1</v>
      </c>
      <c r="N49" s="30" t="b">
        <f aca="false">FALSE()</f>
        <v>0</v>
      </c>
      <c r="O49" s="30" t="b">
        <f aca="false">FALSE()</f>
        <v>0</v>
      </c>
    </row>
    <row r="50" customFormat="false" ht="15" hidden="false" customHeight="false" outlineLevel="0" collapsed="false">
      <c r="A50" s="3" t="s">
        <v>312</v>
      </c>
      <c r="B50" s="3" t="s">
        <v>218</v>
      </c>
      <c r="C50" s="3" t="s">
        <v>216</v>
      </c>
      <c r="D50" s="10" t="n">
        <v>0.7404</v>
      </c>
      <c r="E50" s="29" t="n">
        <v>46220</v>
      </c>
      <c r="F50" s="3" t="n">
        <v>1</v>
      </c>
      <c r="G50" s="3" t="n">
        <v>95</v>
      </c>
      <c r="H50" s="3" t="n">
        <v>1</v>
      </c>
      <c r="I50" s="3" t="s">
        <v>313</v>
      </c>
      <c r="J50" s="30" t="b">
        <f aca="false">FALSE()</f>
        <v>0</v>
      </c>
      <c r="K50" s="30" t="b">
        <f aca="false">FALSE()</f>
        <v>0</v>
      </c>
      <c r="L50" s="30" t="b">
        <f aca="false">TRUE()</f>
        <v>1</v>
      </c>
      <c r="M50" s="30" t="b">
        <f aca="false">FALSE()</f>
        <v>0</v>
      </c>
      <c r="N50" s="30" t="b">
        <f aca="false">FALSE()</f>
        <v>0</v>
      </c>
      <c r="O50" s="30" t="b">
        <f aca="false">FALSE()</f>
        <v>0</v>
      </c>
    </row>
    <row r="51" customFormat="false" ht="15" hidden="false" customHeight="false" outlineLevel="0" collapsed="false">
      <c r="A51" s="3" t="s">
        <v>314</v>
      </c>
      <c r="B51" s="3" t="s">
        <v>218</v>
      </c>
      <c r="C51" s="3" t="s">
        <v>215</v>
      </c>
      <c r="D51" s="10" t="n">
        <v>0.7373</v>
      </c>
      <c r="E51" s="29" t="n">
        <v>46121</v>
      </c>
      <c r="F51" s="3" t="n">
        <v>0</v>
      </c>
      <c r="G51" s="3" t="n">
        <v>106</v>
      </c>
      <c r="H51" s="3" t="n">
        <v>1</v>
      </c>
      <c r="I51" s="3" t="s">
        <v>282</v>
      </c>
      <c r="J51" s="30" t="b">
        <f aca="false">FALSE()</f>
        <v>0</v>
      </c>
      <c r="K51" s="30" t="b">
        <f aca="false">FALSE()</f>
        <v>0</v>
      </c>
      <c r="L51" s="30" t="b">
        <f aca="false">TRUE()</f>
        <v>1</v>
      </c>
      <c r="M51" s="30" t="b">
        <f aca="false">FALSE()</f>
        <v>0</v>
      </c>
      <c r="N51" s="30" t="b">
        <f aca="false">FALSE()</f>
        <v>0</v>
      </c>
      <c r="O51" s="30" t="b">
        <f aca="false">FALSE()</f>
        <v>0</v>
      </c>
    </row>
    <row r="52" customFormat="false" ht="15" hidden="false" customHeight="false" outlineLevel="0" collapsed="false">
      <c r="A52" s="3" t="s">
        <v>315</v>
      </c>
      <c r="B52" s="3" t="s">
        <v>219</v>
      </c>
      <c r="C52" s="3" t="s">
        <v>213</v>
      </c>
      <c r="D52" s="10" t="n">
        <v>0.7354</v>
      </c>
      <c r="E52" s="29" t="n">
        <v>46119</v>
      </c>
      <c r="F52" s="3" t="n">
        <v>0</v>
      </c>
      <c r="G52" s="3" t="n">
        <v>21</v>
      </c>
      <c r="H52" s="3" t="n">
        <v>1</v>
      </c>
      <c r="I52" s="3" t="s">
        <v>316</v>
      </c>
      <c r="J52" s="30" t="b">
        <f aca="false">FALSE()</f>
        <v>0</v>
      </c>
      <c r="K52" s="30" t="b">
        <f aca="false">FALSE()</f>
        <v>0</v>
      </c>
      <c r="L52" s="30" t="b">
        <f aca="false">FALSE()</f>
        <v>0</v>
      </c>
      <c r="M52" s="30" t="b">
        <f aca="false">TRUE()</f>
        <v>1</v>
      </c>
      <c r="N52" s="30" t="b">
        <f aca="false">FALSE()</f>
        <v>0</v>
      </c>
      <c r="O52" s="30" t="b">
        <f aca="false">FALSE()</f>
        <v>0</v>
      </c>
    </row>
    <row r="53" customFormat="false" ht="15" hidden="false" customHeight="false" outlineLevel="0" collapsed="false">
      <c r="A53" s="3" t="s">
        <v>317</v>
      </c>
      <c r="B53" s="3" t="s">
        <v>220</v>
      </c>
      <c r="C53" s="3" t="s">
        <v>216</v>
      </c>
      <c r="D53" s="10" t="n">
        <v>0.7244</v>
      </c>
      <c r="E53" s="29" t="n">
        <v>46226</v>
      </c>
      <c r="F53" s="3" t="n">
        <v>1</v>
      </c>
      <c r="G53" s="3" t="n">
        <v>135</v>
      </c>
      <c r="H53" s="3" t="n">
        <v>1</v>
      </c>
      <c r="I53" s="3" t="s">
        <v>318</v>
      </c>
      <c r="J53" s="30" t="b">
        <f aca="false">FALSE()</f>
        <v>0</v>
      </c>
      <c r="K53" s="30" t="b">
        <f aca="false">FALSE()</f>
        <v>0</v>
      </c>
      <c r="L53" s="30" t="b">
        <f aca="false">TRUE()</f>
        <v>1</v>
      </c>
      <c r="M53" s="30" t="b">
        <f aca="false">TRUE()</f>
        <v>1</v>
      </c>
      <c r="N53" s="30" t="b">
        <f aca="false">FALSE()</f>
        <v>0</v>
      </c>
      <c r="O53" s="30" t="b">
        <f aca="false">FALSE()</f>
        <v>0</v>
      </c>
    </row>
    <row r="54" customFormat="false" ht="15" hidden="false" customHeight="false" outlineLevel="0" collapsed="false">
      <c r="A54" s="3" t="s">
        <v>319</v>
      </c>
      <c r="B54" s="3" t="s">
        <v>217</v>
      </c>
      <c r="C54" s="3" t="s">
        <v>215</v>
      </c>
      <c r="D54" s="10" t="n">
        <v>0.7188</v>
      </c>
      <c r="E54" s="29" t="n">
        <v>46158</v>
      </c>
      <c r="F54" s="3" t="n">
        <v>0</v>
      </c>
      <c r="G54" s="3" t="n">
        <v>121</v>
      </c>
      <c r="H54" s="3" t="n">
        <v>1</v>
      </c>
      <c r="I54" s="3" t="s">
        <v>276</v>
      </c>
      <c r="J54" s="30" t="b">
        <f aca="false">FALSE()</f>
        <v>0</v>
      </c>
      <c r="K54" s="30" t="b">
        <f aca="false">FALSE()</f>
        <v>0</v>
      </c>
      <c r="L54" s="30" t="b">
        <f aca="false">TRUE()</f>
        <v>1</v>
      </c>
      <c r="M54" s="30" t="b">
        <f aca="false">FALSE()</f>
        <v>0</v>
      </c>
      <c r="N54" s="30" t="b">
        <f aca="false">FALSE()</f>
        <v>0</v>
      </c>
      <c r="O54" s="30" t="b">
        <f aca="false">FALSE()</f>
        <v>0</v>
      </c>
    </row>
    <row r="55" customFormat="false" ht="15" hidden="false" customHeight="false" outlineLevel="0" collapsed="false">
      <c r="A55" s="3" t="s">
        <v>320</v>
      </c>
      <c r="B55" s="3" t="s">
        <v>221</v>
      </c>
      <c r="C55" s="3" t="s">
        <v>216</v>
      </c>
      <c r="D55" s="10" t="n">
        <v>0.7064</v>
      </c>
      <c r="E55" s="29" t="n">
        <v>45918</v>
      </c>
      <c r="F55" s="3" t="n">
        <v>1</v>
      </c>
      <c r="G55" s="3" t="n">
        <v>308</v>
      </c>
      <c r="H55" s="3" t="n">
        <v>1</v>
      </c>
      <c r="I55" s="3" t="s">
        <v>272</v>
      </c>
      <c r="J55" s="30" t="b">
        <f aca="false">TRUE()</f>
        <v>1</v>
      </c>
      <c r="K55" s="30" t="b">
        <f aca="false">FALSE()</f>
        <v>0</v>
      </c>
      <c r="L55" s="30" t="b">
        <f aca="false">TRUE()</f>
        <v>1</v>
      </c>
      <c r="M55" s="30" t="b">
        <f aca="false">TRUE()</f>
        <v>1</v>
      </c>
      <c r="N55" s="30" t="b">
        <f aca="false">TRUE()</f>
        <v>1</v>
      </c>
      <c r="O55" s="30" t="b">
        <f aca="false">FALSE()</f>
        <v>0</v>
      </c>
    </row>
    <row r="56" customFormat="false" ht="15" hidden="false" customHeight="false" outlineLevel="0" collapsed="false">
      <c r="A56" s="3" t="s">
        <v>321</v>
      </c>
      <c r="B56" s="3" t="s">
        <v>220</v>
      </c>
      <c r="C56" s="3" t="s">
        <v>214</v>
      </c>
      <c r="D56" s="10" t="n">
        <v>0.7054</v>
      </c>
      <c r="E56" s="29" t="n">
        <v>46179</v>
      </c>
      <c r="F56" s="3" t="n">
        <v>1</v>
      </c>
      <c r="G56" s="3" t="n">
        <v>51</v>
      </c>
      <c r="H56" s="3" t="n">
        <v>6</v>
      </c>
      <c r="I56" s="3" t="s">
        <v>322</v>
      </c>
      <c r="J56" s="30" t="b">
        <f aca="false">FALSE()</f>
        <v>0</v>
      </c>
      <c r="K56" s="30" t="b">
        <f aca="false">FALSE()</f>
        <v>0</v>
      </c>
      <c r="L56" s="30" t="b">
        <f aca="false">FALSE()</f>
        <v>0</v>
      </c>
      <c r="M56" s="30" t="b">
        <f aca="false">FALSE()</f>
        <v>0</v>
      </c>
      <c r="N56" s="30" t="b">
        <f aca="false">FALSE()</f>
        <v>0</v>
      </c>
      <c r="O56" s="30" t="b">
        <f aca="false">TRUE()</f>
        <v>1</v>
      </c>
    </row>
    <row r="57" customFormat="false" ht="15" hidden="false" customHeight="false" outlineLevel="0" collapsed="false">
      <c r="A57" s="3" t="s">
        <v>323</v>
      </c>
      <c r="B57" s="3" t="s">
        <v>221</v>
      </c>
      <c r="C57" s="3" t="s">
        <v>214</v>
      </c>
      <c r="D57" s="10" t="n">
        <v>0.6876</v>
      </c>
      <c r="E57" s="29" t="n">
        <v>46164</v>
      </c>
      <c r="F57" s="3" t="n">
        <v>4</v>
      </c>
      <c r="G57" s="3" t="n">
        <v>279</v>
      </c>
      <c r="H57" s="3" t="n">
        <v>1</v>
      </c>
      <c r="I57" s="3" t="s">
        <v>284</v>
      </c>
      <c r="J57" s="30" t="b">
        <f aca="false">FALSE()</f>
        <v>0</v>
      </c>
      <c r="K57" s="30" t="b">
        <f aca="false">TRUE()</f>
        <v>1</v>
      </c>
      <c r="L57" s="30" t="b">
        <f aca="false">TRUE()</f>
        <v>1</v>
      </c>
      <c r="M57" s="30" t="b">
        <f aca="false">TRUE()</f>
        <v>1</v>
      </c>
      <c r="N57" s="30" t="b">
        <f aca="false">TRUE()</f>
        <v>1</v>
      </c>
      <c r="O57" s="30" t="b">
        <f aca="false">FALSE()</f>
        <v>0</v>
      </c>
    </row>
    <row r="58" customFormat="false" ht="15" hidden="false" customHeight="false" outlineLevel="0" collapsed="false">
      <c r="A58" s="3" t="s">
        <v>324</v>
      </c>
      <c r="B58" s="3" t="s">
        <v>219</v>
      </c>
      <c r="C58" s="3" t="s">
        <v>215</v>
      </c>
      <c r="D58" s="10" t="n">
        <v>0.6829</v>
      </c>
      <c r="E58" s="29" t="n">
        <v>46115</v>
      </c>
      <c r="F58" s="3" t="n">
        <v>1</v>
      </c>
      <c r="G58" s="3" t="n">
        <v>81</v>
      </c>
      <c r="H58" s="3" t="n">
        <v>1</v>
      </c>
      <c r="I58" s="3" t="s">
        <v>325</v>
      </c>
      <c r="J58" s="30" t="b">
        <f aca="false">FALSE()</f>
        <v>0</v>
      </c>
      <c r="K58" s="30" t="b">
        <f aca="false">FALSE()</f>
        <v>0</v>
      </c>
      <c r="L58" s="30" t="b">
        <f aca="false">TRUE()</f>
        <v>1</v>
      </c>
      <c r="M58" s="30" t="b">
        <f aca="false">TRUE()</f>
        <v>1</v>
      </c>
      <c r="N58" s="30" t="b">
        <f aca="false">FALSE()</f>
        <v>0</v>
      </c>
      <c r="O58" s="30" t="b">
        <f aca="false">FALSE()</f>
        <v>0</v>
      </c>
    </row>
    <row r="59" customFormat="false" ht="15" hidden="false" customHeight="false" outlineLevel="0" collapsed="false">
      <c r="A59" s="3" t="s">
        <v>326</v>
      </c>
      <c r="B59" s="3" t="s">
        <v>218</v>
      </c>
      <c r="C59" s="3" t="s">
        <v>215</v>
      </c>
      <c r="D59" s="10" t="n">
        <v>0.681</v>
      </c>
      <c r="E59" s="29" t="n">
        <v>46118</v>
      </c>
      <c r="F59" s="3" t="n">
        <v>1</v>
      </c>
      <c r="G59" s="3" t="n">
        <v>253</v>
      </c>
      <c r="H59" s="3" t="n">
        <v>1</v>
      </c>
      <c r="I59" s="3" t="s">
        <v>327</v>
      </c>
      <c r="J59" s="30" t="b">
        <f aca="false">FALSE()</f>
        <v>0</v>
      </c>
      <c r="K59" s="30" t="b">
        <f aca="false">FALSE()</f>
        <v>0</v>
      </c>
      <c r="L59" s="30" t="b">
        <f aca="false">TRUE()</f>
        <v>1</v>
      </c>
      <c r="M59" s="30" t="b">
        <f aca="false">FALSE()</f>
        <v>0</v>
      </c>
      <c r="N59" s="30" t="b">
        <f aca="false">FALSE()</f>
        <v>0</v>
      </c>
      <c r="O59" s="30" t="b">
        <f aca="false">FALSE()</f>
        <v>0</v>
      </c>
    </row>
    <row r="60" customFormat="false" ht="15" hidden="false" customHeight="false" outlineLevel="0" collapsed="false">
      <c r="A60" s="3" t="s">
        <v>328</v>
      </c>
      <c r="B60" s="3" t="s">
        <v>220</v>
      </c>
      <c r="C60" s="3" t="s">
        <v>214</v>
      </c>
      <c r="D60" s="10" t="n">
        <v>0.676</v>
      </c>
      <c r="E60" s="29" t="n">
        <v>46149</v>
      </c>
      <c r="F60" s="3" t="n">
        <v>1</v>
      </c>
      <c r="G60" s="3" t="n">
        <v>76</v>
      </c>
      <c r="H60" s="3" t="n">
        <v>4</v>
      </c>
      <c r="I60" s="3" t="s">
        <v>293</v>
      </c>
      <c r="J60" s="30" t="b">
        <f aca="false">FALSE()</f>
        <v>0</v>
      </c>
      <c r="K60" s="30" t="b">
        <f aca="false">FALSE()</f>
        <v>0</v>
      </c>
      <c r="L60" s="30" t="b">
        <f aca="false">TRUE()</f>
        <v>1</v>
      </c>
      <c r="M60" s="30" t="b">
        <f aca="false">FALSE()</f>
        <v>0</v>
      </c>
      <c r="N60" s="30" t="b">
        <f aca="false">FALSE()</f>
        <v>0</v>
      </c>
      <c r="O60" s="30" t="b">
        <f aca="false">TRUE()</f>
        <v>1</v>
      </c>
    </row>
    <row r="61" customFormat="false" ht="15" hidden="false" customHeight="false" outlineLevel="0" collapsed="false">
      <c r="A61" s="3" t="s">
        <v>329</v>
      </c>
      <c r="B61" s="3" t="s">
        <v>220</v>
      </c>
      <c r="C61" s="3" t="s">
        <v>216</v>
      </c>
      <c r="D61" s="10" t="n">
        <v>0.6736</v>
      </c>
      <c r="E61" s="29" t="n">
        <v>46207</v>
      </c>
      <c r="F61" s="3" t="n">
        <v>1</v>
      </c>
      <c r="G61" s="3" t="n">
        <v>27</v>
      </c>
      <c r="H61" s="3" t="n">
        <v>1</v>
      </c>
      <c r="I61" s="3" t="s">
        <v>300</v>
      </c>
      <c r="J61" s="30" t="b">
        <f aca="false">FALSE()</f>
        <v>0</v>
      </c>
      <c r="K61" s="30" t="b">
        <f aca="false">FALSE()</f>
        <v>0</v>
      </c>
      <c r="L61" s="30" t="b">
        <f aca="false">FALSE()</f>
        <v>0</v>
      </c>
      <c r="M61" s="30" t="b">
        <f aca="false">TRUE()</f>
        <v>1</v>
      </c>
      <c r="N61" s="30" t="b">
        <f aca="false">FALSE()</f>
        <v>0</v>
      </c>
      <c r="O61" s="30" t="b">
        <f aca="false">FALSE()</f>
        <v>0</v>
      </c>
    </row>
    <row r="62" customFormat="false" ht="15" hidden="false" customHeight="false" outlineLevel="0" collapsed="false">
      <c r="A62" s="3" t="s">
        <v>330</v>
      </c>
      <c r="B62" s="3" t="s">
        <v>218</v>
      </c>
      <c r="C62" s="3" t="s">
        <v>215</v>
      </c>
      <c r="D62" s="10" t="n">
        <v>0.6661</v>
      </c>
      <c r="E62" s="29" t="n">
        <v>46195</v>
      </c>
      <c r="F62" s="3" t="n">
        <v>0</v>
      </c>
      <c r="G62" s="3" t="n">
        <v>95</v>
      </c>
      <c r="H62" s="3" t="n">
        <v>1</v>
      </c>
      <c r="I62" s="3" t="s">
        <v>325</v>
      </c>
      <c r="J62" s="30" t="b">
        <f aca="false">FALSE()</f>
        <v>0</v>
      </c>
      <c r="K62" s="30" t="b">
        <f aca="false">FALSE()</f>
        <v>0</v>
      </c>
      <c r="L62" s="30" t="b">
        <f aca="false">TRUE()</f>
        <v>1</v>
      </c>
      <c r="M62" s="30" t="b">
        <f aca="false">FALSE()</f>
        <v>0</v>
      </c>
      <c r="N62" s="30" t="b">
        <f aca="false">FALSE()</f>
        <v>0</v>
      </c>
      <c r="O62" s="30" t="b">
        <f aca="false">FALSE()</f>
        <v>0</v>
      </c>
    </row>
    <row r="63" customFormat="false" ht="15" hidden="false" customHeight="false" outlineLevel="0" collapsed="false">
      <c r="A63" s="3" t="s">
        <v>331</v>
      </c>
      <c r="B63" s="3" t="s">
        <v>219</v>
      </c>
      <c r="C63" s="3" t="s">
        <v>215</v>
      </c>
      <c r="D63" s="10" t="n">
        <v>0.6399</v>
      </c>
      <c r="E63" s="29" t="n">
        <v>46187</v>
      </c>
      <c r="F63" s="3" t="n">
        <v>1</v>
      </c>
      <c r="G63" s="3" t="n">
        <v>17</v>
      </c>
      <c r="H63" s="3" t="n">
        <v>1</v>
      </c>
      <c r="I63" s="3" t="s">
        <v>303</v>
      </c>
      <c r="J63" s="30" t="b">
        <f aca="false">FALSE()</f>
        <v>0</v>
      </c>
      <c r="K63" s="30" t="b">
        <f aca="false">FALSE()</f>
        <v>0</v>
      </c>
      <c r="L63" s="30" t="b">
        <f aca="false">FALSE()</f>
        <v>0</v>
      </c>
      <c r="M63" s="30" t="b">
        <f aca="false">TRUE()</f>
        <v>1</v>
      </c>
      <c r="N63" s="30" t="b">
        <f aca="false">FALSE()</f>
        <v>0</v>
      </c>
      <c r="O63" s="30" t="b">
        <f aca="false">FALSE()</f>
        <v>0</v>
      </c>
    </row>
    <row r="64" customFormat="false" ht="15" hidden="false" customHeight="false" outlineLevel="0" collapsed="false">
      <c r="A64" s="3" t="s">
        <v>332</v>
      </c>
      <c r="B64" s="3" t="s">
        <v>217</v>
      </c>
      <c r="C64" s="3" t="s">
        <v>215</v>
      </c>
      <c r="D64" s="10" t="n">
        <v>0.6395</v>
      </c>
      <c r="E64" s="29" t="n">
        <v>46168</v>
      </c>
      <c r="F64" s="3" t="n">
        <v>0</v>
      </c>
      <c r="G64" s="3" t="n">
        <v>101</v>
      </c>
      <c r="H64" s="3" t="n">
        <v>1</v>
      </c>
      <c r="I64" s="3" t="s">
        <v>295</v>
      </c>
      <c r="J64" s="30" t="b">
        <f aca="false">FALSE()</f>
        <v>0</v>
      </c>
      <c r="K64" s="30" t="b">
        <f aca="false">FALSE()</f>
        <v>0</v>
      </c>
      <c r="L64" s="30" t="b">
        <f aca="false">TRUE()</f>
        <v>1</v>
      </c>
      <c r="M64" s="30" t="b">
        <f aca="false">FALSE()</f>
        <v>0</v>
      </c>
      <c r="N64" s="30" t="b">
        <f aca="false">FALSE()</f>
        <v>0</v>
      </c>
      <c r="O64" s="30" t="b">
        <f aca="false">FALSE()</f>
        <v>0</v>
      </c>
    </row>
    <row r="65" customFormat="false" ht="15" hidden="false" customHeight="false" outlineLevel="0" collapsed="false">
      <c r="A65" s="3" t="s">
        <v>333</v>
      </c>
      <c r="B65" s="3" t="s">
        <v>220</v>
      </c>
      <c r="C65" s="3" t="s">
        <v>213</v>
      </c>
      <c r="D65" s="10" t="n">
        <v>0.6375</v>
      </c>
      <c r="E65" s="29" t="n">
        <v>46180</v>
      </c>
      <c r="F65" s="3" t="n">
        <v>2</v>
      </c>
      <c r="G65" s="3" t="n">
        <v>72</v>
      </c>
      <c r="H65" s="3" t="n">
        <v>5</v>
      </c>
      <c r="I65" s="3" t="s">
        <v>295</v>
      </c>
      <c r="J65" s="30" t="b">
        <f aca="false">FALSE()</f>
        <v>0</v>
      </c>
      <c r="K65" s="30" t="b">
        <f aca="false">TRUE()</f>
        <v>1</v>
      </c>
      <c r="L65" s="30" t="b">
        <f aca="false">TRUE()</f>
        <v>1</v>
      </c>
      <c r="M65" s="30" t="b">
        <f aca="false">FALSE()</f>
        <v>0</v>
      </c>
      <c r="N65" s="30" t="b">
        <f aca="false">FALSE()</f>
        <v>0</v>
      </c>
      <c r="O65" s="30" t="b">
        <f aca="false">FALSE()</f>
        <v>0</v>
      </c>
    </row>
    <row r="66" customFormat="false" ht="15" hidden="false" customHeight="false" outlineLevel="0" collapsed="false">
      <c r="A66" s="3" t="s">
        <v>334</v>
      </c>
      <c r="B66" s="3" t="s">
        <v>217</v>
      </c>
      <c r="C66" s="3" t="s">
        <v>216</v>
      </c>
      <c r="D66" s="10" t="n">
        <v>0.634</v>
      </c>
      <c r="E66" s="29" t="n">
        <v>46323</v>
      </c>
      <c r="F66" s="3" t="n">
        <v>0</v>
      </c>
      <c r="G66" s="3" t="n">
        <v>82</v>
      </c>
      <c r="H66" s="3" t="n">
        <v>1</v>
      </c>
      <c r="I66" s="3" t="s">
        <v>295</v>
      </c>
      <c r="J66" s="30" t="b">
        <f aca="false">FALSE()</f>
        <v>0</v>
      </c>
      <c r="K66" s="30" t="b">
        <f aca="false">FALSE()</f>
        <v>0</v>
      </c>
      <c r="L66" s="30" t="b">
        <f aca="false">TRUE()</f>
        <v>1</v>
      </c>
      <c r="M66" s="30" t="b">
        <f aca="false">FALSE()</f>
        <v>0</v>
      </c>
      <c r="N66" s="30" t="b">
        <f aca="false">FALSE()</f>
        <v>0</v>
      </c>
      <c r="O66" s="30" t="b">
        <f aca="false">FALSE()</f>
        <v>0</v>
      </c>
    </row>
    <row r="67" customFormat="false" ht="15" hidden="false" customHeight="false" outlineLevel="0" collapsed="false">
      <c r="A67" s="3" t="s">
        <v>335</v>
      </c>
      <c r="B67" s="3" t="s">
        <v>221</v>
      </c>
      <c r="C67" s="3" t="s">
        <v>214</v>
      </c>
      <c r="D67" s="10" t="n">
        <v>0.6306</v>
      </c>
      <c r="E67" s="29" t="n">
        <v>46108</v>
      </c>
      <c r="F67" s="3" t="n">
        <v>1</v>
      </c>
      <c r="G67" s="3" t="n">
        <v>73</v>
      </c>
      <c r="H67" s="3" t="n">
        <v>1</v>
      </c>
      <c r="I67" s="3" t="s">
        <v>303</v>
      </c>
      <c r="J67" s="30" t="b">
        <f aca="false">TRUE()</f>
        <v>1</v>
      </c>
      <c r="K67" s="30" t="b">
        <f aca="false">FALSE()</f>
        <v>0</v>
      </c>
      <c r="L67" s="30" t="b">
        <f aca="false">FALSE()</f>
        <v>0</v>
      </c>
      <c r="M67" s="30" t="b">
        <f aca="false">TRUE()</f>
        <v>1</v>
      </c>
      <c r="N67" s="30" t="b">
        <f aca="false">FALSE()</f>
        <v>0</v>
      </c>
      <c r="O67" s="30" t="b">
        <f aca="false">FALSE()</f>
        <v>0</v>
      </c>
    </row>
    <row r="68" customFormat="false" ht="15" hidden="false" customHeight="false" outlineLevel="0" collapsed="false">
      <c r="A68" s="3" t="s">
        <v>336</v>
      </c>
      <c r="B68" s="3" t="s">
        <v>218</v>
      </c>
      <c r="C68" s="3" t="s">
        <v>216</v>
      </c>
      <c r="D68" s="10" t="n">
        <v>0.6297</v>
      </c>
      <c r="E68" s="29" t="n">
        <v>46210</v>
      </c>
      <c r="F68" s="3" t="n">
        <v>1</v>
      </c>
      <c r="G68" s="3" t="n">
        <v>149</v>
      </c>
      <c r="H68" s="3" t="n">
        <v>1</v>
      </c>
      <c r="I68" s="3" t="s">
        <v>337</v>
      </c>
      <c r="J68" s="30" t="b">
        <f aca="false">FALSE()</f>
        <v>0</v>
      </c>
      <c r="K68" s="30" t="b">
        <f aca="false">FALSE()</f>
        <v>0</v>
      </c>
      <c r="L68" s="30" t="b">
        <f aca="false">TRUE()</f>
        <v>1</v>
      </c>
      <c r="M68" s="30" t="b">
        <f aca="false">FALSE()</f>
        <v>0</v>
      </c>
      <c r="N68" s="30" t="b">
        <f aca="false">FALSE()</f>
        <v>0</v>
      </c>
      <c r="O68" s="30" t="b">
        <f aca="false">FALSE()</f>
        <v>0</v>
      </c>
    </row>
    <row r="69" customFormat="false" ht="15" hidden="false" customHeight="false" outlineLevel="0" collapsed="false">
      <c r="A69" s="3" t="s">
        <v>338</v>
      </c>
      <c r="B69" s="3" t="s">
        <v>218</v>
      </c>
      <c r="C69" s="3" t="s">
        <v>215</v>
      </c>
      <c r="D69" s="10" t="n">
        <v>0.6114</v>
      </c>
      <c r="E69" s="29" t="n">
        <v>46111</v>
      </c>
      <c r="F69" s="3" t="n">
        <v>1</v>
      </c>
      <c r="G69" s="3" t="n">
        <v>78</v>
      </c>
      <c r="H69" s="3" t="n">
        <v>1</v>
      </c>
      <c r="I69" s="3" t="s">
        <v>339</v>
      </c>
      <c r="J69" s="30" t="b">
        <f aca="false">TRUE()</f>
        <v>1</v>
      </c>
      <c r="K69" s="30" t="b">
        <f aca="false">FALSE()</f>
        <v>0</v>
      </c>
      <c r="L69" s="30" t="b">
        <f aca="false">TRUE()</f>
        <v>1</v>
      </c>
      <c r="M69" s="30" t="b">
        <f aca="false">FALSE()</f>
        <v>0</v>
      </c>
      <c r="N69" s="30" t="b">
        <f aca="false">FALSE()</f>
        <v>0</v>
      </c>
      <c r="O69" s="30" t="b">
        <f aca="false">FALSE()</f>
        <v>0</v>
      </c>
    </row>
    <row r="70" customFormat="false" ht="15" hidden="false" customHeight="false" outlineLevel="0" collapsed="false">
      <c r="A70" s="3" t="s">
        <v>340</v>
      </c>
      <c r="B70" s="3" t="s">
        <v>217</v>
      </c>
      <c r="C70" s="3" t="s">
        <v>216</v>
      </c>
      <c r="D70" s="10" t="n">
        <v>0.6063</v>
      </c>
      <c r="E70" s="29" t="n">
        <v>46212</v>
      </c>
      <c r="F70" s="3" t="n">
        <v>0</v>
      </c>
      <c r="G70" s="3" t="n">
        <v>90</v>
      </c>
      <c r="H70" s="3" t="n">
        <v>1</v>
      </c>
      <c r="I70" s="3" t="s">
        <v>341</v>
      </c>
      <c r="J70" s="30" t="b">
        <f aca="false">FALSE()</f>
        <v>0</v>
      </c>
      <c r="K70" s="30" t="b">
        <f aca="false">FALSE()</f>
        <v>0</v>
      </c>
      <c r="L70" s="30" t="b">
        <f aca="false">TRUE()</f>
        <v>1</v>
      </c>
      <c r="M70" s="30" t="b">
        <f aca="false">FALSE()</f>
        <v>0</v>
      </c>
      <c r="N70" s="30" t="b">
        <f aca="false">FALSE()</f>
        <v>0</v>
      </c>
      <c r="O70" s="30" t="b">
        <f aca="false">FALSE()</f>
        <v>0</v>
      </c>
    </row>
    <row r="71" customFormat="false" ht="15" hidden="false" customHeight="false" outlineLevel="0" collapsed="false">
      <c r="A71" s="3" t="s">
        <v>342</v>
      </c>
      <c r="B71" s="3" t="s">
        <v>221</v>
      </c>
      <c r="C71" s="3" t="s">
        <v>214</v>
      </c>
      <c r="D71" s="10" t="n">
        <v>0.6063</v>
      </c>
      <c r="E71" s="29" t="n">
        <v>46198</v>
      </c>
      <c r="F71" s="3" t="n">
        <v>1</v>
      </c>
      <c r="G71" s="3" t="n">
        <v>64</v>
      </c>
      <c r="H71" s="3" t="n">
        <v>1</v>
      </c>
      <c r="I71" s="3" t="s">
        <v>343</v>
      </c>
      <c r="J71" s="30" t="b">
        <f aca="false">FALSE()</f>
        <v>0</v>
      </c>
      <c r="K71" s="30" t="b">
        <f aca="false">FALSE()</f>
        <v>0</v>
      </c>
      <c r="L71" s="30" t="b">
        <f aca="false">FALSE()</f>
        <v>0</v>
      </c>
      <c r="M71" s="30" t="b">
        <f aca="false">TRUE()</f>
        <v>1</v>
      </c>
      <c r="N71" s="30" t="b">
        <f aca="false">FALSE()</f>
        <v>0</v>
      </c>
      <c r="O71" s="30" t="b">
        <f aca="false">FALSE()</f>
        <v>0</v>
      </c>
    </row>
    <row r="72" customFormat="false" ht="15" hidden="false" customHeight="false" outlineLevel="0" collapsed="false">
      <c r="A72" s="3" t="s">
        <v>344</v>
      </c>
      <c r="B72" s="3" t="s">
        <v>221</v>
      </c>
      <c r="C72" s="3" t="s">
        <v>214</v>
      </c>
      <c r="D72" s="10" t="n">
        <v>0.5988</v>
      </c>
      <c r="E72" s="29" t="n">
        <v>46197</v>
      </c>
      <c r="F72" s="3" t="n">
        <v>2</v>
      </c>
      <c r="G72" s="3" t="n">
        <v>55</v>
      </c>
      <c r="H72" s="3" t="n">
        <v>6</v>
      </c>
      <c r="I72" s="3" t="s">
        <v>345</v>
      </c>
      <c r="J72" s="30" t="b">
        <f aca="false">FALSE()</f>
        <v>0</v>
      </c>
      <c r="K72" s="30" t="b">
        <f aca="false">TRUE()</f>
        <v>1</v>
      </c>
      <c r="L72" s="30" t="b">
        <f aca="false">FALSE()</f>
        <v>0</v>
      </c>
      <c r="M72" s="30" t="b">
        <f aca="false">FALSE()</f>
        <v>0</v>
      </c>
      <c r="N72" s="30" t="b">
        <f aca="false">FALSE()</f>
        <v>0</v>
      </c>
      <c r="O72" s="30" t="b">
        <f aca="false">FALSE()</f>
        <v>0</v>
      </c>
    </row>
    <row r="73" customFormat="false" ht="15" hidden="false" customHeight="false" outlineLevel="0" collapsed="false">
      <c r="A73" s="3" t="s">
        <v>346</v>
      </c>
      <c r="B73" s="3" t="s">
        <v>218</v>
      </c>
      <c r="C73" s="3" t="s">
        <v>215</v>
      </c>
      <c r="D73" s="10" t="n">
        <v>0.5963</v>
      </c>
      <c r="E73" s="29" t="n">
        <v>46110</v>
      </c>
      <c r="F73" s="3" t="n">
        <v>0</v>
      </c>
      <c r="G73" s="3" t="n">
        <v>127</v>
      </c>
      <c r="H73" s="3" t="n">
        <v>1</v>
      </c>
      <c r="I73" s="3" t="s">
        <v>347</v>
      </c>
      <c r="J73" s="30" t="b">
        <f aca="false">TRUE()</f>
        <v>1</v>
      </c>
      <c r="K73" s="30" t="b">
        <f aca="false">FALSE()</f>
        <v>0</v>
      </c>
      <c r="L73" s="30" t="b">
        <f aca="false">TRUE()</f>
        <v>1</v>
      </c>
      <c r="M73" s="30" t="b">
        <f aca="false">FALSE()</f>
        <v>0</v>
      </c>
      <c r="N73" s="30" t="b">
        <f aca="false">FALSE()</f>
        <v>0</v>
      </c>
      <c r="O73" s="30" t="b">
        <f aca="false">FALSE()</f>
        <v>0</v>
      </c>
    </row>
    <row r="74" customFormat="false" ht="15" hidden="false" customHeight="false" outlineLevel="0" collapsed="false">
      <c r="A74" s="3" t="s">
        <v>348</v>
      </c>
      <c r="B74" s="3" t="s">
        <v>219</v>
      </c>
      <c r="C74" s="3" t="s">
        <v>215</v>
      </c>
      <c r="D74" s="10" t="n">
        <v>0.5956</v>
      </c>
      <c r="E74" s="29" t="n">
        <v>46011</v>
      </c>
      <c r="F74" s="3" t="n">
        <v>1</v>
      </c>
      <c r="G74" s="3" t="n">
        <v>207</v>
      </c>
      <c r="H74" s="3" t="n">
        <v>1</v>
      </c>
      <c r="I74" s="3" t="s">
        <v>349</v>
      </c>
      <c r="J74" s="30" t="b">
        <f aca="false">TRUE()</f>
        <v>1</v>
      </c>
      <c r="K74" s="30" t="b">
        <f aca="false">FALSE()</f>
        <v>0</v>
      </c>
      <c r="L74" s="30" t="b">
        <f aca="false">TRUE()</f>
        <v>1</v>
      </c>
      <c r="M74" s="30" t="b">
        <f aca="false">TRUE()</f>
        <v>1</v>
      </c>
      <c r="N74" s="30" t="b">
        <f aca="false">TRUE()</f>
        <v>1</v>
      </c>
      <c r="O74" s="30" t="b">
        <f aca="false">FALSE()</f>
        <v>0</v>
      </c>
    </row>
    <row r="75" customFormat="false" ht="15" hidden="false" customHeight="false" outlineLevel="0" collapsed="false">
      <c r="A75" s="3" t="s">
        <v>350</v>
      </c>
      <c r="B75" s="3" t="s">
        <v>220</v>
      </c>
      <c r="C75" s="3" t="s">
        <v>216</v>
      </c>
      <c r="D75" s="10" t="n">
        <v>0.5731</v>
      </c>
      <c r="E75" s="29" t="n">
        <v>46211</v>
      </c>
      <c r="F75" s="3" t="n">
        <v>2</v>
      </c>
      <c r="G75" s="3" t="n">
        <v>92</v>
      </c>
      <c r="H75" s="3" t="n">
        <v>1</v>
      </c>
      <c r="I75" s="3" t="s">
        <v>308</v>
      </c>
      <c r="J75" s="30" t="b">
        <f aca="false">FALSE()</f>
        <v>0</v>
      </c>
      <c r="K75" s="30" t="b">
        <f aca="false">TRUE()</f>
        <v>1</v>
      </c>
      <c r="L75" s="30" t="b">
        <f aca="false">TRUE()</f>
        <v>1</v>
      </c>
      <c r="M75" s="30" t="b">
        <f aca="false">TRUE()</f>
        <v>1</v>
      </c>
      <c r="N75" s="30" t="b">
        <f aca="false">FALSE()</f>
        <v>0</v>
      </c>
      <c r="O75" s="30" t="b">
        <f aca="false">FALSE()</f>
        <v>0</v>
      </c>
    </row>
    <row r="76" customFormat="false" ht="15" hidden="false" customHeight="false" outlineLevel="0" collapsed="false">
      <c r="A76" s="3" t="s">
        <v>351</v>
      </c>
      <c r="B76" s="3" t="s">
        <v>219</v>
      </c>
      <c r="C76" s="3" t="s">
        <v>213</v>
      </c>
      <c r="D76" s="10" t="n">
        <v>0.544</v>
      </c>
      <c r="E76" s="29" t="n">
        <v>46140</v>
      </c>
      <c r="F76" s="3" t="n">
        <v>1</v>
      </c>
      <c r="G76" s="3" t="n">
        <v>123</v>
      </c>
      <c r="H76" s="3" t="n">
        <v>2</v>
      </c>
      <c r="I76" s="3" t="s">
        <v>282</v>
      </c>
      <c r="J76" s="30" t="b">
        <f aca="false">FALSE()</f>
        <v>0</v>
      </c>
      <c r="K76" s="30" t="b">
        <f aca="false">FALSE()</f>
        <v>0</v>
      </c>
      <c r="L76" s="30" t="b">
        <f aca="false">TRUE()</f>
        <v>1</v>
      </c>
      <c r="M76" s="30" t="b">
        <f aca="false">FALSE()</f>
        <v>0</v>
      </c>
      <c r="N76" s="30" t="b">
        <f aca="false">FALSE()</f>
        <v>0</v>
      </c>
      <c r="O76" s="30" t="b">
        <f aca="false">FALSE()</f>
        <v>0</v>
      </c>
    </row>
    <row r="77" customFormat="false" ht="15" hidden="false" customHeight="false" outlineLevel="0" collapsed="false">
      <c r="A77" s="3" t="s">
        <v>352</v>
      </c>
      <c r="B77" s="3" t="s">
        <v>220</v>
      </c>
      <c r="C77" s="3" t="s">
        <v>216</v>
      </c>
      <c r="D77" s="10" t="n">
        <v>0.5439</v>
      </c>
      <c r="E77" s="29" t="n">
        <v>46250</v>
      </c>
      <c r="F77" s="3" t="n">
        <v>2</v>
      </c>
      <c r="G77" s="3" t="n">
        <v>111</v>
      </c>
      <c r="H77" s="3" t="n">
        <v>2</v>
      </c>
      <c r="I77" s="3" t="s">
        <v>322</v>
      </c>
      <c r="J77" s="30" t="b">
        <f aca="false">FALSE()</f>
        <v>0</v>
      </c>
      <c r="K77" s="30" t="b">
        <f aca="false">TRUE()</f>
        <v>1</v>
      </c>
      <c r="L77" s="30" t="b">
        <f aca="false">TRUE()</f>
        <v>1</v>
      </c>
      <c r="M77" s="30" t="b">
        <f aca="false">FALSE()</f>
        <v>0</v>
      </c>
      <c r="N77" s="30" t="b">
        <f aca="false">FALSE()</f>
        <v>0</v>
      </c>
      <c r="O77" s="30" t="b">
        <f aca="false">FALSE()</f>
        <v>0</v>
      </c>
    </row>
    <row r="78" customFormat="false" ht="15" hidden="false" customHeight="false" outlineLevel="0" collapsed="false">
      <c r="A78" s="3" t="s">
        <v>353</v>
      </c>
      <c r="B78" s="3" t="s">
        <v>220</v>
      </c>
      <c r="C78" s="3" t="s">
        <v>214</v>
      </c>
      <c r="D78" s="10" t="n">
        <v>0.5332</v>
      </c>
      <c r="E78" s="29" t="n">
        <v>46141</v>
      </c>
      <c r="F78" s="3" t="n">
        <v>1</v>
      </c>
      <c r="G78" s="3" t="n">
        <v>80</v>
      </c>
      <c r="H78" s="3" t="n">
        <v>5</v>
      </c>
      <c r="I78" s="3" t="s">
        <v>297</v>
      </c>
      <c r="J78" s="30" t="b">
        <f aca="false">FALSE()</f>
        <v>0</v>
      </c>
      <c r="K78" s="30" t="b">
        <f aca="false">FALSE()</f>
        <v>0</v>
      </c>
      <c r="L78" s="30" t="b">
        <f aca="false">TRUE()</f>
        <v>1</v>
      </c>
      <c r="M78" s="30" t="b">
        <f aca="false">FALSE()</f>
        <v>0</v>
      </c>
      <c r="N78" s="30" t="b">
        <f aca="false">FALSE()</f>
        <v>0</v>
      </c>
      <c r="O78" s="30" t="b">
        <f aca="false">TRUE()</f>
        <v>1</v>
      </c>
    </row>
    <row r="79" customFormat="false" ht="15" hidden="false" customHeight="false" outlineLevel="0" collapsed="false">
      <c r="A79" s="3" t="s">
        <v>354</v>
      </c>
      <c r="B79" s="3" t="s">
        <v>219</v>
      </c>
      <c r="C79" s="3" t="s">
        <v>213</v>
      </c>
      <c r="D79" s="10" t="n">
        <v>0.526</v>
      </c>
      <c r="E79" s="29" t="n">
        <v>46164</v>
      </c>
      <c r="F79" s="3" t="n">
        <v>0</v>
      </c>
      <c r="G79" s="3" t="n">
        <v>4</v>
      </c>
      <c r="H79" s="3" t="n">
        <v>1</v>
      </c>
      <c r="I79" s="3" t="s">
        <v>355</v>
      </c>
      <c r="J79" s="30" t="b">
        <f aca="false">FALSE()</f>
        <v>0</v>
      </c>
      <c r="K79" s="30" t="b">
        <f aca="false">FALSE()</f>
        <v>0</v>
      </c>
      <c r="L79" s="30" t="b">
        <f aca="false">FALSE()</f>
        <v>0</v>
      </c>
      <c r="M79" s="30" t="b">
        <f aca="false">TRUE()</f>
        <v>1</v>
      </c>
      <c r="N79" s="30" t="b">
        <f aca="false">FALSE()</f>
        <v>0</v>
      </c>
      <c r="O79" s="30" t="b">
        <f aca="false">FALSE()</f>
        <v>0</v>
      </c>
    </row>
    <row r="80" customFormat="false" ht="15" hidden="false" customHeight="false" outlineLevel="0" collapsed="false">
      <c r="A80" s="3" t="s">
        <v>356</v>
      </c>
      <c r="B80" s="3" t="s">
        <v>219</v>
      </c>
      <c r="C80" s="3" t="s">
        <v>215</v>
      </c>
      <c r="D80" s="10" t="n">
        <v>0.5258</v>
      </c>
      <c r="E80" s="29" t="n">
        <v>46148</v>
      </c>
      <c r="F80" s="3" t="n">
        <v>0</v>
      </c>
      <c r="G80" s="3" t="n">
        <v>123</v>
      </c>
      <c r="H80" s="3" t="n">
        <v>1</v>
      </c>
      <c r="I80" s="3" t="s">
        <v>357</v>
      </c>
      <c r="J80" s="30" t="b">
        <f aca="false">FALSE()</f>
        <v>0</v>
      </c>
      <c r="K80" s="30" t="b">
        <f aca="false">FALSE()</f>
        <v>0</v>
      </c>
      <c r="L80" s="30" t="b">
        <f aca="false">TRUE()</f>
        <v>1</v>
      </c>
      <c r="M80" s="30" t="b">
        <f aca="false">TRUE()</f>
        <v>1</v>
      </c>
      <c r="N80" s="30" t="b">
        <f aca="false">FALSE()</f>
        <v>0</v>
      </c>
      <c r="O80" s="30" t="b">
        <f aca="false">FALSE()</f>
        <v>0</v>
      </c>
    </row>
    <row r="81" customFormat="false" ht="15" hidden="false" customHeight="false" outlineLevel="0" collapsed="false">
      <c r="A81" s="3" t="s">
        <v>358</v>
      </c>
      <c r="B81" s="3" t="s">
        <v>220</v>
      </c>
      <c r="C81" s="3" t="s">
        <v>216</v>
      </c>
      <c r="D81" s="10" t="n">
        <v>0.5253</v>
      </c>
      <c r="E81" s="29" t="n">
        <v>46245</v>
      </c>
      <c r="F81" s="3" t="n">
        <v>1</v>
      </c>
      <c r="G81" s="3" t="n">
        <v>8</v>
      </c>
      <c r="H81" s="3" t="n">
        <v>1</v>
      </c>
      <c r="I81" s="3" t="s">
        <v>359</v>
      </c>
      <c r="J81" s="30" t="b">
        <f aca="false">FALSE()</f>
        <v>0</v>
      </c>
      <c r="K81" s="30" t="b">
        <f aca="false">FALSE()</f>
        <v>0</v>
      </c>
      <c r="L81" s="30" t="b">
        <f aca="false">FALSE()</f>
        <v>0</v>
      </c>
      <c r="M81" s="30" t="b">
        <f aca="false">TRUE()</f>
        <v>1</v>
      </c>
      <c r="N81" s="30" t="b">
        <f aca="false">FALSE()</f>
        <v>0</v>
      </c>
      <c r="O81" s="30" t="b">
        <f aca="false">FALSE()</f>
        <v>0</v>
      </c>
    </row>
    <row r="82" customFormat="false" ht="15" hidden="false" customHeight="false" outlineLevel="0" collapsed="false">
      <c r="A82" s="3" t="s">
        <v>360</v>
      </c>
      <c r="B82" s="3" t="s">
        <v>218</v>
      </c>
      <c r="C82" s="3" t="s">
        <v>216</v>
      </c>
      <c r="D82" s="10" t="n">
        <v>0.525</v>
      </c>
      <c r="E82" s="29" t="n">
        <v>46245</v>
      </c>
      <c r="F82" s="3" t="n">
        <v>0</v>
      </c>
      <c r="G82" s="3" t="n">
        <v>66</v>
      </c>
      <c r="H82" s="3" t="n">
        <v>1</v>
      </c>
      <c r="I82" s="3" t="s">
        <v>272</v>
      </c>
      <c r="J82" s="30" t="b">
        <f aca="false">FALSE()</f>
        <v>0</v>
      </c>
      <c r="K82" s="30" t="b">
        <f aca="false">FALSE()</f>
        <v>0</v>
      </c>
      <c r="L82" s="30" t="b">
        <f aca="false">TRUE()</f>
        <v>1</v>
      </c>
      <c r="M82" s="30" t="b">
        <f aca="false">FALSE()</f>
        <v>0</v>
      </c>
      <c r="N82" s="30" t="b">
        <f aca="false">FALSE()</f>
        <v>0</v>
      </c>
      <c r="O82" s="30" t="b">
        <f aca="false">FALSE()</f>
        <v>0</v>
      </c>
    </row>
    <row r="83" customFormat="false" ht="15" hidden="false" customHeight="false" outlineLevel="0" collapsed="false">
      <c r="A83" s="3" t="s">
        <v>361</v>
      </c>
      <c r="B83" s="3" t="s">
        <v>220</v>
      </c>
      <c r="C83" s="3" t="s">
        <v>214</v>
      </c>
      <c r="D83" s="10" t="n">
        <v>0.5246</v>
      </c>
      <c r="E83" s="29" t="n">
        <v>46150</v>
      </c>
      <c r="F83" s="3" t="n">
        <v>0</v>
      </c>
      <c r="G83" s="3" t="n">
        <v>90</v>
      </c>
      <c r="H83" s="3" t="n">
        <v>5</v>
      </c>
      <c r="I83" s="3" t="s">
        <v>306</v>
      </c>
      <c r="J83" s="30" t="b">
        <f aca="false">FALSE()</f>
        <v>0</v>
      </c>
      <c r="K83" s="30" t="b">
        <f aca="false">FALSE()</f>
        <v>0</v>
      </c>
      <c r="L83" s="30" t="b">
        <f aca="false">TRUE()</f>
        <v>1</v>
      </c>
      <c r="M83" s="30" t="b">
        <f aca="false">FALSE()</f>
        <v>0</v>
      </c>
      <c r="N83" s="30" t="b">
        <f aca="false">FALSE()</f>
        <v>0</v>
      </c>
      <c r="O83" s="30" t="b">
        <f aca="false">TRUE()</f>
        <v>1</v>
      </c>
    </row>
    <row r="84" customFormat="false" ht="15" hidden="false" customHeight="false" outlineLevel="0" collapsed="false">
      <c r="A84" s="3" t="s">
        <v>362</v>
      </c>
      <c r="B84" s="3" t="s">
        <v>218</v>
      </c>
      <c r="C84" s="3" t="s">
        <v>215</v>
      </c>
      <c r="D84" s="10" t="n">
        <v>0.524</v>
      </c>
      <c r="E84" s="29" t="n">
        <v>46170</v>
      </c>
      <c r="F84" s="3" t="n">
        <v>1</v>
      </c>
      <c r="G84" s="3" t="n">
        <v>90</v>
      </c>
      <c r="H84" s="3" t="n">
        <v>1</v>
      </c>
      <c r="I84" s="3" t="s">
        <v>363</v>
      </c>
      <c r="J84" s="30" t="b">
        <f aca="false">FALSE()</f>
        <v>0</v>
      </c>
      <c r="K84" s="30" t="b">
        <f aca="false">FALSE()</f>
        <v>0</v>
      </c>
      <c r="L84" s="30" t="b">
        <f aca="false">TRUE()</f>
        <v>1</v>
      </c>
      <c r="M84" s="30" t="b">
        <f aca="false">FALSE()</f>
        <v>0</v>
      </c>
      <c r="N84" s="30" t="b">
        <f aca="false">FALSE()</f>
        <v>0</v>
      </c>
      <c r="O84" s="30" t="b">
        <f aca="false">FALSE()</f>
        <v>0</v>
      </c>
    </row>
    <row r="85" customFormat="false" ht="15" hidden="false" customHeight="false" outlineLevel="0" collapsed="false">
      <c r="A85" s="3" t="s">
        <v>364</v>
      </c>
      <c r="B85" s="3" t="s">
        <v>221</v>
      </c>
      <c r="C85" s="3" t="s">
        <v>214</v>
      </c>
      <c r="D85" s="10" t="n">
        <v>0.5075</v>
      </c>
      <c r="E85" s="29" t="n">
        <v>46095</v>
      </c>
      <c r="F85" s="3" t="n">
        <v>1</v>
      </c>
      <c r="G85" s="3" t="n">
        <v>89</v>
      </c>
      <c r="H85" s="3" t="n">
        <v>1</v>
      </c>
      <c r="I85" s="3" t="s">
        <v>297</v>
      </c>
      <c r="J85" s="30" t="b">
        <f aca="false">TRUE()</f>
        <v>1</v>
      </c>
      <c r="K85" s="30" t="b">
        <f aca="false">FALSE()</f>
        <v>0</v>
      </c>
      <c r="L85" s="30" t="b">
        <f aca="false">TRUE()</f>
        <v>1</v>
      </c>
      <c r="M85" s="30" t="b">
        <f aca="false">TRUE()</f>
        <v>1</v>
      </c>
      <c r="N85" s="30" t="b">
        <f aca="false">FALSE()</f>
        <v>0</v>
      </c>
      <c r="O85" s="30" t="b">
        <f aca="false">FALSE()</f>
        <v>0</v>
      </c>
    </row>
    <row r="86" customFormat="false" ht="15" hidden="false" customHeight="false" outlineLevel="0" collapsed="false">
      <c r="A86" s="3" t="s">
        <v>365</v>
      </c>
      <c r="B86" s="3" t="s">
        <v>219</v>
      </c>
      <c r="C86" s="3" t="s">
        <v>213</v>
      </c>
      <c r="D86" s="10" t="n">
        <v>0.5052</v>
      </c>
      <c r="E86" s="29" t="n">
        <v>46159</v>
      </c>
      <c r="F86" s="3" t="n">
        <v>0</v>
      </c>
      <c r="G86" s="3" t="n">
        <v>41</v>
      </c>
      <c r="H86" s="3" t="n">
        <v>1</v>
      </c>
      <c r="I86" s="3" t="s">
        <v>293</v>
      </c>
      <c r="J86" s="30" t="b">
        <f aca="false">FALSE()</f>
        <v>0</v>
      </c>
      <c r="K86" s="30" t="b">
        <f aca="false">FALSE()</f>
        <v>0</v>
      </c>
      <c r="L86" s="30" t="b">
        <f aca="false">FALSE()</f>
        <v>0</v>
      </c>
      <c r="M86" s="30" t="b">
        <f aca="false">TRUE()</f>
        <v>1</v>
      </c>
      <c r="N86" s="30" t="b">
        <f aca="false">FALSE()</f>
        <v>0</v>
      </c>
      <c r="O86" s="3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2"/>
    <col collapsed="false" customWidth="true" hidden="false" outlineLevel="0" max="11" min="11" style="0" width="50"/>
  </cols>
  <sheetData>
    <row r="1" customFormat="false" ht="16.15" hidden="false" customHeight="false" outlineLevel="0" collapsed="false">
      <c r="A1" s="4" t="s">
        <v>366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5" t="s">
        <v>367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 t="s">
        <v>368</v>
      </c>
      <c r="B4" s="19" t="s">
        <v>369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6" t="s">
        <v>370</v>
      </c>
      <c r="B6" s="6" t="s">
        <v>371</v>
      </c>
      <c r="C6" s="6" t="s">
        <v>372</v>
      </c>
      <c r="D6" s="6" t="s">
        <v>373</v>
      </c>
      <c r="E6" s="6" t="s">
        <v>374</v>
      </c>
      <c r="F6" s="6" t="s">
        <v>375</v>
      </c>
      <c r="G6" s="6" t="s">
        <v>376</v>
      </c>
      <c r="H6" s="6" t="s">
        <v>377</v>
      </c>
      <c r="I6" s="6" t="s">
        <v>378</v>
      </c>
      <c r="J6" s="6" t="s">
        <v>379</v>
      </c>
      <c r="K6" s="6" t="s">
        <v>380</v>
      </c>
    </row>
    <row r="7" customFormat="false" ht="15" hidden="false" customHeight="false" outlineLevel="0" collapsed="false">
      <c r="A7" s="3" t="s">
        <v>381</v>
      </c>
      <c r="B7" s="31" t="n">
        <v>0.218</v>
      </c>
      <c r="C7" s="31" t="n">
        <v>0.23</v>
      </c>
      <c r="D7" s="31" t="n">
        <v>0.235</v>
      </c>
      <c r="E7" s="31" t="n">
        <v>0.17</v>
      </c>
      <c r="F7" s="31" t="n">
        <v>0.175</v>
      </c>
      <c r="G7" s="31" t="n">
        <v>0.18</v>
      </c>
      <c r="H7" s="31" t="n">
        <v>0.23</v>
      </c>
      <c r="I7" s="31" t="n">
        <v>0.25</v>
      </c>
      <c r="J7" s="31" t="n">
        <v>0.26</v>
      </c>
      <c r="K7" s="21" t="s">
        <v>382</v>
      </c>
    </row>
    <row r="8" customFormat="false" ht="15" hidden="false" customHeight="false" outlineLevel="0" collapsed="false">
      <c r="A8" s="3" t="s">
        <v>383</v>
      </c>
      <c r="B8" s="25" t="n">
        <v>291</v>
      </c>
      <c r="C8" s="25" t="n">
        <v>330</v>
      </c>
      <c r="D8" s="25" t="n">
        <v>350</v>
      </c>
      <c r="E8" s="25" t="n">
        <v>291</v>
      </c>
      <c r="F8" s="25" t="n">
        <v>300</v>
      </c>
      <c r="G8" s="25" t="n">
        <v>310</v>
      </c>
      <c r="H8" s="25" t="n">
        <v>300</v>
      </c>
      <c r="I8" s="25" t="n">
        <v>360</v>
      </c>
      <c r="J8" s="25" t="n">
        <v>420</v>
      </c>
      <c r="K8" s="21" t="s">
        <v>384</v>
      </c>
    </row>
    <row r="9" customFormat="false" ht="15" hidden="false" customHeight="false" outlineLevel="0" collapsed="false">
      <c r="A9" s="3" t="s">
        <v>385</v>
      </c>
      <c r="B9" s="32" t="n">
        <v>66.9</v>
      </c>
      <c r="C9" s="32" t="n">
        <v>70</v>
      </c>
      <c r="D9" s="32" t="n">
        <v>73</v>
      </c>
      <c r="E9" s="32" t="n">
        <v>60</v>
      </c>
      <c r="F9" s="32" t="n">
        <v>61</v>
      </c>
      <c r="G9" s="32" t="n">
        <v>62</v>
      </c>
      <c r="H9" s="32" t="n">
        <v>68</v>
      </c>
      <c r="I9" s="32" t="n">
        <v>72</v>
      </c>
      <c r="J9" s="32" t="n">
        <v>76</v>
      </c>
      <c r="K9" s="21" t="s">
        <v>386</v>
      </c>
    </row>
    <row r="10" customFormat="false" ht="15" hidden="false" customHeight="false" outlineLevel="0" collapsed="false">
      <c r="A10" s="3" t="s">
        <v>387</v>
      </c>
      <c r="B10" s="32" t="n">
        <v>4</v>
      </c>
      <c r="C10" s="32" t="n">
        <v>9</v>
      </c>
      <c r="D10" s="32" t="n">
        <v>18</v>
      </c>
      <c r="E10" s="32" t="n">
        <v>2.6</v>
      </c>
      <c r="F10" s="32" t="n">
        <v>4</v>
      </c>
      <c r="G10" s="32" t="n">
        <v>6</v>
      </c>
      <c r="H10" s="32" t="n">
        <v>4.5</v>
      </c>
      <c r="I10" s="32" t="n">
        <v>11</v>
      </c>
      <c r="J10" s="32" t="n">
        <v>22</v>
      </c>
      <c r="K10" s="21" t="s">
        <v>388</v>
      </c>
    </row>
    <row r="11" customFormat="false" ht="15" hidden="false" customHeight="false" outlineLevel="0" collapsed="false">
      <c r="A11" s="3" t="s">
        <v>389</v>
      </c>
      <c r="B11" s="31" t="n">
        <v>1</v>
      </c>
      <c r="C11" s="31" t="n">
        <v>1.04</v>
      </c>
      <c r="D11" s="31" t="n">
        <v>1.07</v>
      </c>
      <c r="E11" s="31" t="n">
        <v>0.97</v>
      </c>
      <c r="F11" s="31" t="n">
        <v>0.99</v>
      </c>
      <c r="G11" s="31" t="n">
        <v>1.01</v>
      </c>
      <c r="H11" s="31" t="n">
        <v>1.01</v>
      </c>
      <c r="I11" s="31" t="n">
        <v>1.05</v>
      </c>
      <c r="J11" s="31" t="n">
        <v>1.08</v>
      </c>
      <c r="K11" s="21" t="s">
        <v>390</v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3" t="s">
        <v>391</v>
      </c>
      <c r="B13" s="8" t="n">
        <f aca="false">B8*B7*B9/100</f>
        <v>42.440022</v>
      </c>
      <c r="C13" s="8" t="n">
        <f aca="false">C8*C7*C9/100</f>
        <v>53.13</v>
      </c>
      <c r="D13" s="8" t="n">
        <f aca="false">D8*D7*D9/100</f>
        <v>60.0425</v>
      </c>
      <c r="E13" s="8" t="n">
        <f aca="false">E8*E7*E9/100</f>
        <v>29.682</v>
      </c>
      <c r="F13" s="8" t="n">
        <f aca="false">F8*F7*F9/100</f>
        <v>32.025</v>
      </c>
      <c r="G13" s="8" t="n">
        <f aca="false">G8*G7*G9/100</f>
        <v>34.596</v>
      </c>
      <c r="H13" s="8" t="n">
        <f aca="false">H8*H7*H9/100</f>
        <v>46.92</v>
      </c>
      <c r="I13" s="8" t="n">
        <f aca="false">I8*I7*I9/100</f>
        <v>64.8</v>
      </c>
      <c r="J13" s="8" t="n">
        <f aca="false">J8*J7*J9/100</f>
        <v>82.992</v>
      </c>
      <c r="K13" s="3"/>
    </row>
    <row r="14" customFormat="false" ht="15" hidden="false" customHeight="false" outlineLevel="0" collapsed="false">
      <c r="A14" s="3" t="s">
        <v>392</v>
      </c>
      <c r="B14" s="8" t="n">
        <f aca="false">B13+B10</f>
        <v>46.440022</v>
      </c>
      <c r="C14" s="8" t="n">
        <f aca="false">C13+C10</f>
        <v>62.13</v>
      </c>
      <c r="D14" s="8" t="n">
        <f aca="false">D13+D10</f>
        <v>78.0425</v>
      </c>
      <c r="E14" s="8" t="n">
        <f aca="false">E13+E10</f>
        <v>32.282</v>
      </c>
      <c r="F14" s="8" t="n">
        <f aca="false">F13+F10</f>
        <v>36.025</v>
      </c>
      <c r="G14" s="8" t="n">
        <f aca="false">G13+G10</f>
        <v>40.596</v>
      </c>
      <c r="H14" s="8" t="n">
        <f aca="false">H13+H10</f>
        <v>51.42</v>
      </c>
      <c r="I14" s="8" t="n">
        <f aca="false">I13+I10</f>
        <v>75.8</v>
      </c>
      <c r="J14" s="8" t="n">
        <f aca="false">J13+J10</f>
        <v>104.992</v>
      </c>
      <c r="K14" s="3"/>
    </row>
    <row r="15" customFormat="false" ht="15" hidden="false" customHeight="false" outlineLevel="0" collapsed="false">
      <c r="A15" s="3" t="s">
        <v>393</v>
      </c>
      <c r="B15" s="32" t="n">
        <v>310</v>
      </c>
      <c r="C15" s="8" t="n">
        <f aca="false">B16</f>
        <v>356.440022</v>
      </c>
      <c r="D15" s="8" t="n">
        <f aca="false">C16</f>
        <v>432.82762288</v>
      </c>
      <c r="E15" s="32" t="n">
        <v>310</v>
      </c>
      <c r="F15" s="8" t="n">
        <f aca="false">E16</f>
        <v>332.982</v>
      </c>
      <c r="G15" s="8" t="n">
        <f aca="false">F16</f>
        <v>365.67718</v>
      </c>
      <c r="H15" s="32" t="n">
        <v>310</v>
      </c>
      <c r="I15" s="8" t="n">
        <f aca="false">H16</f>
        <v>364.52</v>
      </c>
      <c r="J15" s="8" t="n">
        <f aca="false">I16</f>
        <v>458.546</v>
      </c>
      <c r="K15" s="3"/>
    </row>
    <row r="16" customFormat="false" ht="15" hidden="false" customHeight="false" outlineLevel="0" collapsed="false">
      <c r="A16" s="1" t="s">
        <v>394</v>
      </c>
      <c r="B16" s="33" t="n">
        <f aca="false">B15*B11+B14</f>
        <v>356.440022</v>
      </c>
      <c r="C16" s="33" t="n">
        <f aca="false">C15*C11+C14</f>
        <v>432.82762288</v>
      </c>
      <c r="D16" s="33" t="n">
        <f aca="false">D15*D11+D14</f>
        <v>541.1680564816</v>
      </c>
      <c r="E16" s="33" t="n">
        <f aca="false">E15*E11+E14</f>
        <v>332.982</v>
      </c>
      <c r="F16" s="33" t="n">
        <f aca="false">F15*F11+F14</f>
        <v>365.67718</v>
      </c>
      <c r="G16" s="33" t="n">
        <f aca="false">G15*G11+G14</f>
        <v>409.9299518</v>
      </c>
      <c r="H16" s="33" t="n">
        <f aca="false">H15*H11+H14</f>
        <v>364.52</v>
      </c>
      <c r="I16" s="33" t="n">
        <f aca="false">I15*I11+I14</f>
        <v>458.546</v>
      </c>
      <c r="J16" s="33" t="n">
        <f aca="false">J15*J11+J14</f>
        <v>600.22168</v>
      </c>
      <c r="K16" s="3"/>
    </row>
    <row r="17" customFormat="false" ht="15" hidden="false" customHeight="false" outlineLevel="0" collapsed="false">
      <c r="A17" s="3" t="s">
        <v>395</v>
      </c>
      <c r="B17" s="7" t="n">
        <f aca="false">B16/B15-1</f>
        <v>0.149806522580645</v>
      </c>
      <c r="C17" s="7" t="n">
        <f aca="false">C16/C15-1</f>
        <v>0.214307025488849</v>
      </c>
      <c r="D17" s="7" t="n">
        <f aca="false">D16/D15-1</f>
        <v>0.250308501293683</v>
      </c>
      <c r="E17" s="7" t="n">
        <f aca="false">E16/E15-1</f>
        <v>0.0741354838709676</v>
      </c>
      <c r="F17" s="7" t="n">
        <f aca="false">F16/F15-1</f>
        <v>0.0981890312389258</v>
      </c>
      <c r="G17" s="7" t="n">
        <f aca="false">G16/G15-1</f>
        <v>0.121015951282495</v>
      </c>
      <c r="H17" s="7" t="n">
        <f aca="false">H16/H15-1</f>
        <v>0.175870967741936</v>
      </c>
      <c r="I17" s="7" t="n">
        <f aca="false">I16/I15-1</f>
        <v>0.257944694392626</v>
      </c>
      <c r="J17" s="7" t="n">
        <f aca="false">J16/J15-1</f>
        <v>0.308967213758271</v>
      </c>
      <c r="K17" s="3"/>
    </row>
    <row r="18" customFormat="false" ht="15" hidden="false" customHeight="false" outlineLevel="0" collapsed="false">
      <c r="A18" s="3" t="s">
        <v>396</v>
      </c>
      <c r="B18" s="32" t="n">
        <v>356.5</v>
      </c>
      <c r="C18" s="32" t="n">
        <v>427.8</v>
      </c>
      <c r="D18" s="32" t="n">
        <v>521.9</v>
      </c>
      <c r="E18" s="32" t="n">
        <v>356.5</v>
      </c>
      <c r="F18" s="32" t="n">
        <v>427.8</v>
      </c>
      <c r="G18" s="32" t="n">
        <v>521.9</v>
      </c>
      <c r="H18" s="32" t="n">
        <v>356.5</v>
      </c>
      <c r="I18" s="32" t="n">
        <v>427.8</v>
      </c>
      <c r="J18" s="32" t="n">
        <v>521.9</v>
      </c>
      <c r="K18" s="3"/>
    </row>
    <row r="19" customFormat="false" ht="15" hidden="false" customHeight="false" outlineLevel="0" collapsed="false">
      <c r="A19" s="1" t="s">
        <v>397</v>
      </c>
      <c r="B19" s="34" t="n">
        <f aca="false">B16-B18</f>
        <v>-0.059978000000001</v>
      </c>
      <c r="C19" s="34" t="n">
        <f aca="false">C16-C18</f>
        <v>5.02762288000002</v>
      </c>
      <c r="D19" s="34" t="n">
        <f aca="false">D16-D18</f>
        <v>19.2680564816001</v>
      </c>
      <c r="E19" s="34" t="n">
        <f aca="false">E16-E18</f>
        <v>-23.518</v>
      </c>
      <c r="F19" s="34" t="n">
        <f aca="false">F16-F18</f>
        <v>-62.1228200000001</v>
      </c>
      <c r="G19" s="34" t="n">
        <f aca="false">G16-G18</f>
        <v>-111.9700482</v>
      </c>
      <c r="H19" s="34" t="n">
        <f aca="false">H16-H18</f>
        <v>8.02000000000004</v>
      </c>
      <c r="I19" s="34" t="n">
        <f aca="false">I16-I18</f>
        <v>30.746</v>
      </c>
      <c r="J19" s="34" t="n">
        <f aca="false">J16-J18</f>
        <v>78.3216800000001</v>
      </c>
      <c r="K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1" t="s">
        <v>398</v>
      </c>
      <c r="B21" s="33" t="n">
        <f aca="false">IF(B4="Base",D16,IF(B4="Downside",G16,J16))</f>
        <v>541.1680564816</v>
      </c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1" t="s">
        <v>399</v>
      </c>
      <c r="B22" s="34" t="n">
        <f aca="false">B21-521.9</f>
        <v>19.2680564816001</v>
      </c>
      <c r="C22" s="3"/>
      <c r="D22" s="3"/>
      <c r="E22" s="3"/>
      <c r="F22" s="3"/>
      <c r="G22" s="3"/>
      <c r="H22" s="3"/>
      <c r="I22" s="3"/>
      <c r="J22" s="3"/>
      <c r="K22" s="3"/>
    </row>
  </sheetData>
  <dataValidations count="1">
    <dataValidation allowBlank="false" errorStyle="stop" operator="between" showDropDown="false" showErrorMessage="false" showInputMessage="false" sqref="B4" type="list">
      <formula1>"Base,Downside,Aggressive"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4" t="s">
        <v>400</v>
      </c>
      <c r="B1" s="3"/>
    </row>
    <row r="2" customFormat="false" ht="15" hidden="false" customHeight="false" outlineLevel="0" collapsed="false">
      <c r="A2" s="5" t="s">
        <v>401</v>
      </c>
      <c r="B2" s="3"/>
    </row>
    <row r="3" customFormat="false" ht="15" hidden="false" customHeight="false" outlineLevel="0" collapsed="false">
      <c r="A3" s="3"/>
      <c r="B3" s="3"/>
    </row>
    <row r="4" customFormat="false" ht="15" hidden="false" customHeight="false" outlineLevel="0" collapsed="false">
      <c r="A4" s="1" t="s">
        <v>402</v>
      </c>
      <c r="B4" s="26"/>
    </row>
    <row r="5" customFormat="false" ht="23.85" hidden="false" customHeight="false" outlineLevel="0" collapsed="false">
      <c r="A5" s="3" t="s">
        <v>214</v>
      </c>
      <c r="B5" s="26" t="s">
        <v>403</v>
      </c>
    </row>
    <row r="6" customFormat="false" ht="15" hidden="false" customHeight="false" outlineLevel="0" collapsed="false">
      <c r="A6" s="3" t="s">
        <v>404</v>
      </c>
      <c r="B6" s="26" t="s">
        <v>405</v>
      </c>
    </row>
    <row r="7" customFormat="false" ht="15" hidden="false" customHeight="false" outlineLevel="0" collapsed="false">
      <c r="A7" s="3" t="s">
        <v>215</v>
      </c>
      <c r="B7" s="26" t="s">
        <v>406</v>
      </c>
    </row>
    <row r="8" customFormat="false" ht="15" hidden="false" customHeight="false" outlineLevel="0" collapsed="false">
      <c r="A8" s="3" t="s">
        <v>407</v>
      </c>
      <c r="B8" s="26" t="s">
        <v>408</v>
      </c>
    </row>
    <row r="9" customFormat="false" ht="15" hidden="false" customHeight="false" outlineLevel="0" collapsed="false">
      <c r="A9" s="1" t="s">
        <v>409</v>
      </c>
      <c r="B9" s="26"/>
    </row>
    <row r="10" customFormat="false" ht="15" hidden="false" customHeight="false" outlineLevel="0" collapsed="false">
      <c r="A10" s="3" t="s">
        <v>410</v>
      </c>
      <c r="B10" s="26" t="s">
        <v>411</v>
      </c>
    </row>
    <row r="11" customFormat="false" ht="23.85" hidden="false" customHeight="false" outlineLevel="0" collapsed="false">
      <c r="A11" s="3" t="s">
        <v>412</v>
      </c>
      <c r="B11" s="26" t="s">
        <v>413</v>
      </c>
    </row>
    <row r="12" customFormat="false" ht="15" hidden="false" customHeight="false" outlineLevel="0" collapsed="false">
      <c r="A12" s="3" t="s">
        <v>414</v>
      </c>
      <c r="B12" s="26" t="s">
        <v>415</v>
      </c>
    </row>
    <row r="13" customFormat="false" ht="15" hidden="false" customHeight="false" outlineLevel="0" collapsed="false">
      <c r="A13" s="3" t="s">
        <v>416</v>
      </c>
      <c r="B13" s="26" t="s">
        <v>417</v>
      </c>
    </row>
    <row r="14" customFormat="false" ht="15" hidden="false" customHeight="false" outlineLevel="0" collapsed="false">
      <c r="A14" s="1" t="s">
        <v>418</v>
      </c>
      <c r="B14" s="26"/>
    </row>
    <row r="15" customFormat="false" ht="15" hidden="false" customHeight="false" outlineLevel="0" collapsed="false">
      <c r="A15" s="3" t="s">
        <v>419</v>
      </c>
      <c r="B15" s="26" t="s">
        <v>420</v>
      </c>
    </row>
    <row r="16" customFormat="false" ht="15" hidden="false" customHeight="false" outlineLevel="0" collapsed="false">
      <c r="A16" s="3" t="s">
        <v>421</v>
      </c>
      <c r="B16" s="26" t="s">
        <v>422</v>
      </c>
    </row>
    <row r="17" customFormat="false" ht="15" hidden="false" customHeight="false" outlineLevel="0" collapsed="false">
      <c r="A17" s="3" t="s">
        <v>423</v>
      </c>
      <c r="B17" s="26" t="s">
        <v>424</v>
      </c>
    </row>
    <row r="18" customFormat="false" ht="15" hidden="false" customHeight="false" outlineLevel="0" collapsed="false">
      <c r="A18" s="3" t="s">
        <v>425</v>
      </c>
      <c r="B18" s="26" t="s">
        <v>426</v>
      </c>
    </row>
    <row r="19" customFormat="false" ht="15" hidden="false" customHeight="false" outlineLevel="0" collapsed="false">
      <c r="A19" s="3" t="s">
        <v>427</v>
      </c>
      <c r="B19" s="26" t="s">
        <v>428</v>
      </c>
    </row>
    <row r="20" customFormat="false" ht="15" hidden="false" customHeight="false" outlineLevel="0" collapsed="false">
      <c r="A20" s="3" t="s">
        <v>429</v>
      </c>
      <c r="B20" s="26" t="s">
        <v>430</v>
      </c>
    </row>
    <row r="21" customFormat="false" ht="15" hidden="false" customHeight="false" outlineLevel="0" collapsed="false">
      <c r="A21" s="3" t="s">
        <v>431</v>
      </c>
      <c r="B21" s="26" t="s">
        <v>432</v>
      </c>
    </row>
    <row r="22" customFormat="false" ht="15" hidden="false" customHeight="false" outlineLevel="0" collapsed="false">
      <c r="A22" s="1" t="s">
        <v>433</v>
      </c>
      <c r="B22" s="26"/>
    </row>
    <row r="23" customFormat="false" ht="15" hidden="false" customHeight="false" outlineLevel="0" collapsed="false">
      <c r="A23" s="3" t="s">
        <v>434</v>
      </c>
      <c r="B23" s="26" t="s">
        <v>435</v>
      </c>
    </row>
    <row r="24" customFormat="false" ht="15" hidden="false" customHeight="false" outlineLevel="0" collapsed="false">
      <c r="A24" s="3" t="s">
        <v>436</v>
      </c>
      <c r="B24" s="26" t="s">
        <v>437</v>
      </c>
    </row>
    <row r="25" customFormat="false" ht="23.85" hidden="false" customHeight="false" outlineLevel="0" collapsed="false">
      <c r="A25" s="1" t="s">
        <v>438</v>
      </c>
      <c r="B25" s="26" t="s">
        <v>439</v>
      </c>
    </row>
    <row r="26" customFormat="false" ht="15" hidden="false" customHeight="false" outlineLevel="0" collapsed="false">
      <c r="A26" s="1" t="s">
        <v>440</v>
      </c>
      <c r="B26" s="26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2026-09-23T11:10:50Z</dcterms:created>
  <dc:creator>openpyxl</dc:creator>
  <dc:description/>
  <dc:language>en-US</dc:language>
  <cp:lastModifiedBy/>
  <dcterms:modified xsi:type="dcterms:W3CDTF">2026-09-23T11:10:52Z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
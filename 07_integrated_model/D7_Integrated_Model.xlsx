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Scenarios" sheetId="3" state="visible" r:id="rId5"/>
    <sheet name="Sensitivity" sheetId="4" state="visible" r:id="rId6"/>
    <sheet name="Cascade" sheetId="5" state="visible" r:id="rId7"/>
    <sheet name="Checks" sheetId="6" state="visible" r:id="rId8"/>
    <sheet name="Capacity" sheetId="7" state="visible" r:id="rId9"/>
    <sheet name="Bookings" sheetId="8" state="visible" r:id="rId10"/>
    <sheet name="Channel" sheetId="9" state="visible" r:id="rId11"/>
    <sheet name="ARR_bridge" sheetId="10" state="visible" r:id="rId12"/>
    <sheet name="PnL" sheetId="11" state="visible" r:id="rId13"/>
    <sheet name="Investment" sheetId="12" state="visible" r:id="rId14"/>
    <sheet name="Do_nothing" sheetId="13" state="visible" r:id="rId15"/>
    <sheet name="Inject4" sheetId="14" state="visible" r:id="rId16"/>
    <sheet name="Traceability"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<sst xmlns="http://schemas.openxmlformats.org/spreadsheetml/2006/main" count="927" uniqueCount="714">
  <si>
    <t xml:space="preserve">D7 INTEGRATED REVENUE MODEL, FY27–FY29</t>
  </si>
  <si>
    <t xml:space="preserve">Company</t>
  </si>
  <si>
    <t xml:space="preserve">Strata Sense Technologies is fictional; all data synthetic (MBA capstone). ₹ crore unless stated.</t>
  </si>
  <si>
    <t xml:space="preserve">How to use</t>
  </si>
  <si>
    <t xml:space="preserve">Pick a scenario in Assumptions!C4 (Base, Downside, Aggressive, CFO-capped). Flex any driver with the five sensitivity shift cells (Assumptions rows 60–64). Every sheet recalculates; the Cascade sheet shows what moved against the saved base run.</t>
  </si>
  <si>
    <t xml:space="preserve">Colour code</t>
  </si>
  <si>
    <t xml:space="preserve">Blue = input. Yellow fill = key assumption. Black = formula. Green = link to another sheet. No hard-coded plugs: every number in a calculation sheet is a formula or a labelled input.</t>
  </si>
  <si>
    <t xml:space="preserve">Flow</t>
  </si>
  <si>
    <t xml:space="preserve">Assumptions → Capacity (AE cohorts, ramp, attrition) → Bookings (capacity × win rate × deal size; pipeline required) → Channel (partner ARR, channel P&amp;L) → ARR_bridge (quarterly) → PnL (revenue, gross margin incl. partner margin, S&amp;M, EBITDA, CAC payback) → Investment (FY27 envelope; payback vs do-nothing) → Checks.</t>
  </si>
  <si>
    <t xml:space="preserve">Snapshot sheets</t>
  </si>
  <si>
    <t xml:space="preserve">Scenarios, Sensitivity and the 'Base (saved)' column of Cascade hold values produced by running this workbook with run_scenarios.py (script in the GitHub folder). They are labelled as saved runs; the live model is unaffected by them.</t>
  </si>
  <si>
    <t xml:space="preserve">Counting rule</t>
  </si>
  <si>
    <t xml:space="preserve">A partner-sourced deal worked by an AE is counted once, as partner ARR (Channel sheet). The AE gets 50% quota credit (compensation only). Direct bookings exclude partner-sourced deals.</t>
  </si>
  <si>
    <t xml:space="preserve">Q1 FY27</t>
  </si>
  <si>
    <t xml:space="preserve">Q1 FY27 total new-logo ARR is the locked D4 hold-out forecast (₹8.71 cr, p50), because the quarter was already under way when the plan was set. Capacity drives bookings from Q2 FY27.</t>
  </si>
  <si>
    <t xml:space="preserve">Supersedes</t>
  </si>
  <si>
    <t xml:space="preserve">D2 capacity (₹46.5 cr need), D4 scenarios and D6 share denominators. D6 partner ARR is reproduced exactly in the Base scenario (Checks).</t>
  </si>
  <si>
    <t xml:space="preserve">Injects</t>
  </si>
  <si>
    <t xml:space="preserve">Inject 1 (₹15 cr envelope): Investment sheet. Inject 2 (HelixAsset free): win rate and churn assumptions (D5). Inject 3 (partner conflict): Channel existing-partner ARR. Inject 4 (Vajra re-tender): Inject4 sheet and ARR_bridge row 'Vajra re-tender'.</t>
  </si>
  <si>
    <t xml:space="preserve">Assumptions and scenario switch</t>
  </si>
  <si>
    <t xml:space="preserve">Scenario drivers by year; the Live columns (O–Q) feed the model. FY26 actual (column B) is the starting point for quarterly interpolation.</t>
  </si>
  <si>
    <t xml:space="preserve">SCENARIO (choose)</t>
  </si>
  <si>
    <t xml:space="preserve">Base</t>
  </si>
  <si>
    <t xml:space="preserve">Base = recommended plan inside the ₹15 cr envelope · Downside = same spend, weaker outcomes · Aggressive = ₹18 cr (extra ₹3 cr option) · CFO-capped = gated reserve never released, FY28–29 hiring frozen</t>
  </si>
  <si>
    <t xml:space="preserve">Downside</t>
  </si>
  <si>
    <t xml:space="preserve">Aggressive</t>
  </si>
  <si>
    <t xml:space="preserve">CFO-capped</t>
  </si>
  <si>
    <t xml:space="preserve">Scenario index</t>
  </si>
  <si>
    <t xml:space="preserve">LIVE (selected)</t>
  </si>
  <si>
    <t xml:space="preserve">Driver</t>
  </si>
  <si>
    <t xml:space="preserve">FY26 actual</t>
  </si>
  <si>
    <t xml:space="preserve">FY27</t>
  </si>
  <si>
    <t xml:space="preserve">FY28</t>
  </si>
  <si>
    <t xml:space="preserve">FY29</t>
  </si>
  <si>
    <t xml:space="preserve">Source / reasoning</t>
  </si>
  <si>
    <t xml:space="preserve">Direct win rate on qualified deals</t>
  </si>
  <si>
    <t xml:space="preserve">DR1 clean FY26 direct 17.1% (D1). D2 tiering mix +2.9 pts at full effect; D5 battlecards +0.6 pts beyond D2; Inject 2 holds Helix-incumbent win at 7%. Board goal 23% by FY28 not met in Base (defended in memo).</t>
  </si>
  <si>
    <t xml:space="preserve">Sales cycle, qualified to close (months)</t>
  </si>
  <si>
    <t xml:space="preserve">Brief/DR1: 5.2 → 8.1 months. D4 stage-exit rules and D3 business-case discipline shorten it slowly; paid pilots (D3) add time on large deals.</t>
  </si>
  <si>
    <t xml:space="preserve">Average won deal at list price (₹ lakh)</t>
  </si>
  <si>
    <t xml:space="preserve">DR1 FY26 won deals: ₹57.6 lakh at 19.3% discount = ₹71.4 lakh list. D2 strategic tier deals ₹71 lakh net; multi-plant expansion raises size.</t>
  </si>
  <si>
    <t xml:space="preserve">Average discount on won deals</t>
  </si>
  <si>
    <t xml:space="preserve">DR1 FY26 19.3%. D3 negotiation plan and D5 discount limits: cap 15% (CFO approval above). Inject 2: no matching of free Helix offer.</t>
  </si>
  <si>
    <t xml:space="preserve">Qualified direct opportunities available (per year)</t>
  </si>
  <si>
    <t xml:space="preserve">DR1 FY26: 392 qualified direct deals closed. D2: tiered accounts + ₹24 cr programme reallocation to strategic/scaled tiers; SDR capacity.</t>
  </si>
  <si>
    <t xml:space="preserve">AE annual attrition</t>
  </si>
  <si>
    <t xml:space="preserve">DR3 FY26: 18 exits on ~63 AEs = 29%. Inject 1 AE retention pool (₹1.0 cr) targets 6–24-month tenure exits.</t>
  </si>
  <si>
    <t xml:space="preserve">Expansion ARR (% of opening ARR, annual)</t>
  </si>
  <si>
    <t xml:space="preserve">DR3 FY26 ₹22 cr on ₹272 cr. D1: non-Helix expansion stall (₹9.9 cr at stake); Inject 1 top-30 expansion programme; D2 Lotus Motors-type plans.</t>
  </si>
  <si>
    <t xml:space="preserve">Contraction (% of opening ARR, annual)</t>
  </si>
  <si>
    <t xml:space="preserve">DR3 FY26 ₹9 cr. Usage-led adoption programme (retention squad).</t>
  </si>
  <si>
    <t xml:space="preserve">Churn (% of opening ARR excl. Vajra, annual)</t>
  </si>
  <si>
    <t xml:space="preserve">DR3 FY26 ₹16 cr (5.9%). Helix-incumbent churn is the driver (D1: Helix NRR 116% → 92%). Retention squads, Helix renewal protection; HelixAsset free until 31 Mar 2027 keeps FY27 elevated (Inject 2).</t>
  </si>
  <si>
    <t xml:space="preserve">Partners activated in the year (count)</t>
  </si>
  <si>
    <t xml:space="preserve">D6: FY27 six prospects + P07, P10 reactivated; FY28 three held prospects + six new.</t>
  </si>
  <si>
    <t xml:space="preserve">Mature partner productivity (₹ cr sourced ARR / year)</t>
  </si>
  <si>
    <t xml:space="preserve">D6: ~10 qualified deals × 34% SEA partner win rate × ₹37 lakh. FY26 actual ₹0.49 cr per active partner (India-heavy). Downside ≈ FY26 India partners.</t>
  </si>
  <si>
    <t xml:space="preserve">Vajra re-tender: probability of losing the account (Inject 4)</t>
  </si>
  <si>
    <t xml:space="preserve">Inject 4 sheet: 45% without a plan (Helix-incumbent win/loss pattern, HelixAsset free); retention plan lowers it.</t>
  </si>
  <si>
    <t xml:space="preserve">Hardware revenue per ₹1 of new + expansion ARR</t>
  </si>
  <si>
    <t xml:space="preserve">DR3: 1.34 (FY24) → 1.38 → 1.48 (FY26). Falls with software-led expansion and the sensor-agnostic tier from Q4 FY27 (reuse installed sensors, D1 SENSOR-REUSE). At FY26 attach the GM floor breaks in FY28 (memo).</t>
  </si>
  <si>
    <t xml:space="preserve">Vajra: price concession if retained</t>
  </si>
  <si>
    <t xml:space="preserve">Inject 4: 3-year renewal with price lock; concession capped by D5 discount rules.</t>
  </si>
  <si>
    <t xml:space="preserve">NET NEW AE HIRES BY QUARTER (headcount added, on top of backfills)</t>
  </si>
  <si>
    <t xml:space="preserve">Scenario</t>
  </si>
  <si>
    <t xml:space="preserve">Q2 FY27</t>
  </si>
  <si>
    <t xml:space="preserve">Q3 FY27</t>
  </si>
  <si>
    <t xml:space="preserve">Q4 FY27</t>
  </si>
  <si>
    <t xml:space="preserve">Q1 FY28</t>
  </si>
  <si>
    <t xml:space="preserve">Q2 FY28</t>
  </si>
  <si>
    <t xml:space="preserve">Q3 FY28</t>
  </si>
  <si>
    <t xml:space="preserve">Q4 FY28</t>
  </si>
  <si>
    <t xml:space="preserve">Q1 FY29</t>
  </si>
  <si>
    <t xml:space="preserve">Q2 FY29</t>
  </si>
  <si>
    <t xml:space="preserve">Q3 FY29</t>
  </si>
  <si>
    <t xml:space="preserve">Q4 FY29</t>
  </si>
  <si>
    <t xml:space="preserve">Note</t>
  </si>
  <si>
    <t xml:space="preserve">Inject 1: 6 AEs from Q3 FY27 (SEA-weighted). Aggressive adds 6 in Q4 FY27 = 12, the FY27 limit.</t>
  </si>
  <si>
    <t xml:space="preserve">Live: net new AE hires</t>
  </si>
  <si>
    <t xml:space="preserve">GLOBAL INPUTS</t>
  </si>
  <si>
    <t xml:space="preserve">Input</t>
  </si>
  <si>
    <t xml:space="preserve">Value</t>
  </si>
  <si>
    <t xml:space="preserve">Qualified deals an AE carries at once (ramped AE)</t>
  </si>
  <si>
    <t xml:space="preserve">Calibrated: FY26 392 direct qualified closes ÷ 48.5 ramped-AE years × 8.1-month cycle ÷ 12 (DR3 ae_quarterly, DR1)</t>
  </si>
  <si>
    <t xml:space="preserve">Ramp weight: AE tenure 0–6 months</t>
  </si>
  <si>
    <t xml:space="preserve">D1 productivity by tenure: ₹0 / 0.29 / 0.59 / 0.89 cr per AE-year → weights 0 / 0.33 / 0.66 / 1.0</t>
  </si>
  <si>
    <t xml:space="preserve">Ramp weight: 6–12 months</t>
  </si>
  <si>
    <t xml:space="preserve">Ramp weight: 12–24 months</t>
  </si>
  <si>
    <t xml:space="preserve">Ramp weight: 24+ months</t>
  </si>
  <si>
    <t xml:space="preserve">Attrition multiplier: 0–6 months</t>
  </si>
  <si>
    <t xml:space="preserve">DR3 exits concentrate at 6–24 months tenure (D1)</t>
  </si>
  <si>
    <t xml:space="preserve">Attrition multiplier: 6–12 months</t>
  </si>
  <si>
    <t xml:space="preserve">Attrition multiplier: 12–24 months</t>
  </si>
  <si>
    <t xml:space="preserve">Attrition multiplier: 24+ months</t>
  </si>
  <si>
    <t xml:space="preserve">AEs at 31 Mar 2026: 0–6 months</t>
  </si>
  <si>
    <t xml:space="preserve">DR3 ae_roster (64 active)</t>
  </si>
  <si>
    <t xml:space="preserve">AEs at 31 Mar 2026: 6–12 months</t>
  </si>
  <si>
    <t xml:space="preserve">AEs at 31 Mar 2026: 12–24 months</t>
  </si>
  <si>
    <t xml:space="preserve">AEs at 31 Mar 2026: 24+ months</t>
  </si>
  <si>
    <t xml:space="preserve">Backfill hires in Q1 FY27 (for Q4 FY26 exits)</t>
  </si>
  <si>
    <t xml:space="preserve">Holds headcount at 64 before net new hires (FY26 exits averaged 4.5 a quarter; FY27 attrition lower)</t>
  </si>
  <si>
    <t xml:space="preserve">Q1 FY27 total new-logo ARR (locked D4 forecast, p50)</t>
  </si>
  <si>
    <t xml:space="preserve">D4_holdout_forecast_LOCKED.json (sha256 ba5b63ad…). Quarter under way when plan set.</t>
  </si>
  <si>
    <t xml:space="preserve">AE loaded cost FY26 (₹ cr / AE-year)</t>
  </si>
  <si>
    <t xml:space="preserve">DR3: AE compensation ₹35.25 cr ÷ 62.9 AE-years</t>
  </si>
  <si>
    <t xml:space="preserve">Cost inflation per year</t>
  </si>
  <si>
    <t xml:space="preserve">Assumption (salary inflation India)</t>
  </si>
  <si>
    <t xml:space="preserve">Recruiting cost per AE hire (₹ cr)</t>
  </si>
  <si>
    <t xml:space="preserve">DR3 unit costs ₹3.5 lakh</t>
  </si>
  <si>
    <t xml:space="preserve">S&amp;M excl. AE pay and partner commissions, FY26 (₹ cr)</t>
  </si>
  <si>
    <t xml:space="preserve">DR3 sm_by_line FY26: ₹96.0 − 35.25 AE pay − 0.42 partner commissions</t>
  </si>
  <si>
    <t xml:space="preserve">Subscription revenue ÷ average ARR</t>
  </si>
  <si>
    <t xml:space="preserve">DR3 FY26: ₹295.2 cr revenue on ₹295.2 cr average quarterly ARR</t>
  </si>
  <si>
    <t xml:space="preserve">Software cost of revenue (% of subscription revenue)</t>
  </si>
  <si>
    <t xml:space="preserve">DR3 FY26 ₹53.1 cr ÷ ₹295.2 cr</t>
  </si>
  <si>
    <t xml:space="preserve">Hardware cost of revenue (% of hardware revenue)</t>
  </si>
  <si>
    <t xml:space="preserve">DR3 FY26; unit costs: hardware ~25% gross margin</t>
  </si>
  <si>
    <t xml:space="preserve">R&amp;D FY26 (₹ cr)</t>
  </si>
  <si>
    <t xml:space="preserve">DR3</t>
  </si>
  <si>
    <t xml:space="preserve">R&amp;D growth per year</t>
  </si>
  <si>
    <t xml:space="preserve">Assumption: held near inflation; no new hardware (guardrail)</t>
  </si>
  <si>
    <t xml:space="preserve">G&amp;A FY26 (₹ cr)</t>
  </si>
  <si>
    <t xml:space="preserve">G&amp;A growth per year</t>
  </si>
  <si>
    <t xml:space="preserve">Assumption: operating leverage</t>
  </si>
  <si>
    <t xml:space="preserve">Existing partners' sourced ARR FY27 after Inject 3 (₹ cr)</t>
  </si>
  <si>
    <t xml:space="preserve">D6 Partner_ramp (₹2.6 cr × (1 − 13.2%) Inject 3 haircut)</t>
  </si>
  <si>
    <t xml:space="preserve">Existing partners' ARR growth per year</t>
  </si>
  <si>
    <t xml:space="preserve">D6</t>
  </si>
  <si>
    <t xml:space="preserve">Partner ramp: activation year (share of mature)</t>
  </si>
  <si>
    <t xml:space="preserve">D6: mid-year activation, first deal after 6–12 months (DR6)</t>
  </si>
  <si>
    <t xml:space="preserve">Partner ramp: second year</t>
  </si>
  <si>
    <t xml:space="preserve">Partner ramp: third year</t>
  </si>
  <si>
    <t xml:space="preserve">Partner-deal win rate (mature SEA partners)</t>
  </si>
  <si>
    <t xml:space="preserve">D1: SEA partner-sourced 34%. Win-rate shift applies to partners too (cascade).</t>
  </si>
  <si>
    <t xml:space="preserve">Average partner deal (₹ cr)</t>
  </si>
  <si>
    <t xml:space="preserve">DR1 FY26 partner-sourced won deals</t>
  </si>
  <si>
    <t xml:space="preserve">Partner ARR phasing: Q1 share of year</t>
  </si>
  <si>
    <t xml:space="preserve">Recruits back-load each year (D6 ramp)</t>
  </si>
  <si>
    <t xml:space="preserve">Q2 share</t>
  </si>
  <si>
    <t xml:space="preserve">Q3 share</t>
  </si>
  <si>
    <t xml:space="preserve">Q4 share</t>
  </si>
  <si>
    <t xml:space="preserve">Blended year-1 partner margin FY27</t>
  </si>
  <si>
    <t xml:space="preserve">D6 tiers 10% / 18% / 22% × mix</t>
  </si>
  <si>
    <t xml:space="preserve">Blended year-1 partner margin FY28</t>
  </si>
  <si>
    <t xml:space="preserve">Blended year-1 partner margin FY29</t>
  </si>
  <si>
    <t xml:space="preserve">Blended renewal margin FY28</t>
  </si>
  <si>
    <t xml:space="preserve">Blended renewal margin FY29</t>
  </si>
  <si>
    <t xml:space="preserve">Channel fixed cost excl. MDF FY27 (₹ cr)</t>
  </si>
  <si>
    <t xml:space="preserve">D6 Inputs (VP Channel, partner managers, enablement, PRM) = Inject 1 envelope line</t>
  </si>
  <si>
    <t xml:space="preserve">Channel fixed cost excl. MDF FY28</t>
  </si>
  <si>
    <t xml:space="preserve">Channel fixed cost excl. MDF FY29</t>
  </si>
  <si>
    <t xml:space="preserve">Partner MDF FY27 (inside existing ₹24 cr programme budget)</t>
  </si>
  <si>
    <t xml:space="preserve">D6; reallocated, not incremental</t>
  </si>
  <si>
    <t xml:space="preserve">Partner MDF FY28</t>
  </si>
  <si>
    <t xml:space="preserve">Partner MDF FY29</t>
  </si>
  <si>
    <t xml:space="preserve">Direct effort share on partner deals FY27</t>
  </si>
  <si>
    <t xml:space="preserve">Direct S&amp;M cost per ₹1 of new-logo ARR</t>
  </si>
  <si>
    <t xml:space="preserve">DR3 allocation (70% of ₹96 cr S&amp;M ÷ ₹41 cr); D6</t>
  </si>
  <si>
    <t xml:space="preserve">Win-rate response to discount (pts of win per pt of discount)</t>
  </si>
  <si>
    <t xml:space="preserve">D1/D5: discount creep bought little (DISCOUNT-NO-EFFECT); assumption for the trade-off</t>
  </si>
  <si>
    <t xml:space="preserve">Vajra Auto Components ARR (₹ cr, renewal Q4 FY27)</t>
  </si>
  <si>
    <t xml:space="preserve">Inject 4; DR2 CU-1095</t>
  </si>
  <si>
    <t xml:space="preserve">Do-nothing: FY26 new-logo ARR (₹ cr)</t>
  </si>
  <si>
    <t xml:space="preserve">Do-nothing: new-logo change per year</t>
  </si>
  <si>
    <t xml:space="preserve">Win rate fell 27% → 17% over FY24–26 (D1); trend continues without action</t>
  </si>
  <si>
    <t xml:space="preserve">Do-nothing: FY26 NRR</t>
  </si>
  <si>
    <t xml:space="preserve">D1</t>
  </si>
  <si>
    <t xml:space="preserve">Do-nothing: NRR change per year (pts)</t>
  </si>
  <si>
    <t xml:space="preserve">D1: 118% → 112% → 98.9%; Helix pressure continues</t>
  </si>
  <si>
    <t xml:space="preserve">FY27 investment envelope (Base, Downside, CFO-capped)</t>
  </si>
  <si>
    <t xml:space="preserve">Inject 1: CFO cap accepted</t>
  </si>
  <si>
    <t xml:space="preserve">FY27 envelope (Aggressive)</t>
  </si>
  <si>
    <t xml:space="preserve">Original guardrail; requires payback ≤ 15 months on the extra ₹3 cr</t>
  </si>
  <si>
    <t xml:space="preserve">Board growth path FY27</t>
  </si>
  <si>
    <t xml:space="preserve">Brief guardrail</t>
  </si>
  <si>
    <t xml:space="preserve">Board growth path FY28</t>
  </si>
  <si>
    <t xml:space="preserve">Board growth path FY29</t>
  </si>
  <si>
    <t xml:space="preserve">Board NRR goal FY29</t>
  </si>
  <si>
    <t xml:space="preserve">Brief objectives</t>
  </si>
  <si>
    <t xml:space="preserve">Gross margin floor</t>
  </si>
  <si>
    <t xml:space="preserve">Guardrail</t>
  </si>
  <si>
    <t xml:space="preserve">CAC payback cap, every quarter (months)</t>
  </si>
  <si>
    <t xml:space="preserve">CAC payback cap by Q4 FY28 (months)</t>
  </si>
  <si>
    <t xml:space="preserve">S&amp;M as % of ARR, FY29 cap</t>
  </si>
  <si>
    <t xml:space="preserve">Guardrail (from 31%)</t>
  </si>
  <si>
    <t xml:space="preserve">Net new AEs in FY27, cap</t>
  </si>
  <si>
    <t xml:space="preserve">New channel roles, cap</t>
  </si>
  <si>
    <t xml:space="preserve">SENSITIVITY SHIFTS (leave at 0 for the plan; applied on top of the selected scenario)</t>
  </si>
  <si>
    <t xml:space="preserve">Win-rate shift (percentage points, direct and partner)</t>
  </si>
  <si>
    <t xml:space="preserve">Cascade test: set to 3</t>
  </si>
  <si>
    <t xml:space="preserve">Sales-cycle shift (months)</t>
  </si>
  <si>
    <t xml:space="preserve">Discount shift (percentage points)</t>
  </si>
  <si>
    <t xml:space="preserve">Also moves win rate by the response above</t>
  </si>
  <si>
    <t xml:space="preserve">Partner productivity shift (%)</t>
  </si>
  <si>
    <t xml:space="preserve">Churn shift (percentage points of annual churn)</t>
  </si>
  <si>
    <t xml:space="preserve">Share of planned improvement delivered (1 = plan; 0 = FY26 levels)</t>
  </si>
  <si>
    <t xml:space="preserve">Applies to win, cycle, deal, discount, supply, attrition, retention rates and partner productivity</t>
  </si>
  <si>
    <t xml:space="preserve">Scenario comparison (saved runs)</t>
  </si>
  <si>
    <t xml:space="preserve">Values produced by run_scenarios.py: the live workbook was recalculated with each setting of Assumptions!C4. Change C4 to see any scenario live.</t>
  </si>
  <si>
    <t xml:space="preserve">Metric</t>
  </si>
  <si>
    <t xml:space="preserve">Reading</t>
  </si>
  <si>
    <t xml:space="preserve">ARR FY27</t>
  </si>
  <si>
    <t xml:space="preserve">ARR FY28</t>
  </si>
  <si>
    <t xml:space="preserve">ARR FY29</t>
  </si>
  <si>
    <t xml:space="preserve">Board path FY29: ₹521.9 cr</t>
  </si>
  <si>
    <t xml:space="preserve">Growth FY27</t>
  </si>
  <si>
    <t xml:space="preserve">Board path 15%; Base misses (defended in memo §4)</t>
  </si>
  <si>
    <t xml:space="preserve">Growth FY28</t>
  </si>
  <si>
    <t xml:space="preserve">Growth FY29</t>
  </si>
  <si>
    <t xml:space="preserve">New logo FY27</t>
  </si>
  <si>
    <t xml:space="preserve">New logo FY28</t>
  </si>
  <si>
    <t xml:space="preserve">New logo FY29</t>
  </si>
  <si>
    <t xml:space="preserve">NRR FY27</t>
  </si>
  <si>
    <t xml:space="preserve">NRR FY29</t>
  </si>
  <si>
    <t xml:space="preserve">Partner share FY29</t>
  </si>
  <si>
    <t xml:space="preserve">GM min year</t>
  </si>
  <si>
    <t xml:space="preserve">CAC worst qtr</t>
  </si>
  <si>
    <t xml:space="preserve">Q1 FY27 is locked by the D4 forecast in every scenario</t>
  </si>
  <si>
    <t xml:space="preserve">CAC Q4 FY28</t>
  </si>
  <si>
    <t xml:space="preserve">CAC worst qtr from Q2 FY27</t>
  </si>
  <si>
    <t xml:space="preserve">Tightest guardrail: Q3 FY27</t>
  </si>
  <si>
    <t xml:space="preserve">S&amp;M/ARR FY29</t>
  </si>
  <si>
    <t xml:space="preserve">EBITDA FY27</t>
  </si>
  <si>
    <t xml:space="preserve">EBITDA FY28</t>
  </si>
  <si>
    <t xml:space="preserve">EBITDA FY29</t>
  </si>
  <si>
    <t xml:space="preserve">Investment FY27</t>
  </si>
  <si>
    <t xml:space="preserve">Envelope ₹15 cr (₹18 cr Aggressive)</t>
  </si>
  <si>
    <t xml:space="preserve">Investment FY27-29</t>
  </si>
  <si>
    <t xml:space="preserve">Investment payback FY29 (months)</t>
  </si>
  <si>
    <t xml:space="preserve">Investment payback FY29 vs FY26-flat (months)</t>
  </si>
  <si>
    <t xml:space="preserve">never</t>
  </si>
  <si>
    <t xml:space="preserve">Stricter counterfactual: credits only gains beyond FY26 rates</t>
  </si>
  <si>
    <t xml:space="preserve">AE headcount end FY29</t>
  </si>
  <si>
    <t xml:space="preserve">Guardrails failed</t>
  </si>
  <si>
    <t xml:space="preserve">Base: only the Q1 FY27 payback (disclosed)</t>
  </si>
  <si>
    <t xml:space="preserve">Board-goal shortfalls</t>
  </si>
  <si>
    <t xml:space="preserve">Sensitivity of the Base plan and break-even points (saved runs)</t>
  </si>
  <si>
    <t xml:space="preserve">Each row flexes one driver with the Assumptions sensitivity shift cells and recalculates the whole model. Reproduce by typing the shift into Assumptions (rows marked SENSITIVITY SHIFTS).</t>
  </si>
  <si>
    <t xml:space="preserve">Driver and change</t>
  </si>
  <si>
    <t xml:space="preserve">FY29 ARR</t>
  </si>
  <si>
    <t xml:space="preserve">Δ vs Base</t>
  </si>
  <si>
    <t xml:space="preserve">FY29 growth</t>
  </si>
  <si>
    <t xml:space="preserve">FY27 ARR</t>
  </si>
  <si>
    <t xml:space="preserve">FY29 EBITDA</t>
  </si>
  <si>
    <t xml:space="preserve">Worst CAC payback from Q2 FY27</t>
  </si>
  <si>
    <t xml:space="preserve">CAC payback Q4 FY28</t>
  </si>
  <si>
    <t xml:space="preserve">Min GM</t>
  </si>
  <si>
    <t xml:space="preserve">Investment payback FY29 vs FY26-flat</t>
  </si>
  <si>
    <t xml:space="preserve">Base plan</t>
  </si>
  <si>
    <t xml:space="preserve">Win rate −3 pts</t>
  </si>
  <si>
    <t xml:space="preserve">Win rate +3 pts</t>
  </si>
  <si>
    <t xml:space="preserve">Sales cycle −1 months</t>
  </si>
  <si>
    <t xml:space="preserve">Sales cycle +1 months</t>
  </si>
  <si>
    <t xml:space="preserve">Discount −3 pts</t>
  </si>
  <si>
    <t xml:space="preserve">Discount +3 pts</t>
  </si>
  <si>
    <t xml:space="preserve">Partner productivity −30%</t>
  </si>
  <si>
    <t xml:space="preserve">Partner productivity +30%</t>
  </si>
  <si>
    <t xml:space="preserve">Churn −2 pts</t>
  </si>
  <si>
    <t xml:space="preserve">Churn +2 pts</t>
  </si>
  <si>
    <t xml:space="preserve">BREAK-EVEN: the change at which a payback test fails</t>
  </si>
  <si>
    <t xml:space="preserve">Test</t>
  </si>
  <si>
    <t xml:space="preserve">Win rate (pts vs plan)</t>
  </si>
  <si>
    <t xml:space="preserve">Churn (pts vs plan)</t>
  </si>
  <si>
    <t xml:space="preserve">Plan delivery (share of planned improvement)</t>
  </si>
  <si>
    <t xml:space="preserve">CAC payback &gt; 30 months in any quarter from Q2 FY27</t>
  </si>
  <si>
    <t xml:space="preserve">CAC payback Q4 FY28 &gt; 24 months</t>
  </si>
  <si>
    <t xml:space="preserve">never in range</t>
  </si>
  <si>
    <t xml:space="preserve">Investment payback vs FY26-flat &gt; 30 months (FY29)</t>
  </si>
  <si>
    <t xml:space="preserve">Reading: the every-quarter payback test is the binding one. Q3 FY27 sits at 29.5 months, so a win rate half a point below plan breaks it; hence the Q2 FY27 trigger that holds the H2 reserve if win rate is off track. Sales-cycle gains add little because pipeline supply, not AE capacity, binds from Q3 FY27. Churn does not move CAC payback (it is measured on new and expansion ARR) but it drives NRR and FY29 ARR more than any other driver.</t>
  </si>
  <si>
    <t xml:space="preserve">Cascade test: change the win rate by 3 points and every number that moves</t>
  </si>
  <si>
    <t xml:space="preserve">Set Assumptions!B106 to 3. 'Live' recalculates; 'Base (saved)' and '+3 pts (saved)' are values from run_scenarios.py for reference.</t>
  </si>
  <si>
    <t xml:space="preserve">Where it shows</t>
  </si>
  <si>
    <t xml:space="preserve">Base (saved)</t>
  </si>
  <si>
    <t xml:space="preserve">+3 pts (saved)</t>
  </si>
  <si>
    <t xml:space="preserve">Live</t>
  </si>
  <si>
    <t xml:space="preserve">Live − Base</t>
  </si>
  <si>
    <t xml:space="preserve">Why it moves</t>
  </si>
  <si>
    <t xml:space="preserve">AE deal capacity FY27 (qualified deals)</t>
  </si>
  <si>
    <t xml:space="preserve">D2 capacity</t>
  </si>
  <si>
    <t xml:space="preserve">Does not move: capacity is AEs × deals carried ÷ cycle</t>
  </si>
  <si>
    <t xml:space="preserve">Qualified deals worked FY27</t>
  </si>
  <si>
    <t xml:space="preserve">Does not move</t>
  </si>
  <si>
    <t xml:space="preserve">Deals won FY27</t>
  </si>
  <si>
    <t xml:space="preserve">D2 / D4</t>
  </si>
  <si>
    <t xml:space="preserve">More of the same deals close</t>
  </si>
  <si>
    <t xml:space="preserve">Direct new-logo ARR FY27 (₹ cr)</t>
  </si>
  <si>
    <t xml:space="preserve">D4 forecast</t>
  </si>
  <si>
    <t xml:space="preserve">Q2–Q4 move; Q1 is the locked forecast</t>
  </si>
  <si>
    <t xml:space="preserve">Direct new-logo ARR Q2 FY27 (₹ cr)</t>
  </si>
  <si>
    <t xml:space="preserve">D4 next-quarter forecast</t>
  </si>
  <si>
    <t xml:space="preserve">Pipeline required FY27 (₹ cr)</t>
  </si>
  <si>
    <t xml:space="preserve">D4 coverage</t>
  </si>
  <si>
    <t xml:space="preserve">Required pipeline = bookings ÷ win rate</t>
  </si>
  <si>
    <t xml:space="preserve">Board path FY27: capacity surplus / (gap), deals</t>
  </si>
  <si>
    <t xml:space="preserve">D2 account plan capacity</t>
  </si>
  <si>
    <t xml:space="preserve">Fewer deals needed at a higher win rate</t>
  </si>
  <si>
    <t xml:space="preserve">Board path FY27: extra ramped AEs needed</t>
  </si>
  <si>
    <t xml:space="preserve">D2 / Inject 1 hiring</t>
  </si>
  <si>
    <t xml:space="preserve">Board path FY28: capacity surplus / (gap), deals</t>
  </si>
  <si>
    <t xml:space="preserve">Partner-sourced ARR FY27 (₹ cr)</t>
  </si>
  <si>
    <t xml:space="preserve">D6 channel</t>
  </si>
  <si>
    <t xml:space="preserve">Partner win rate 34% → 37% scales partner productivity</t>
  </si>
  <si>
    <t xml:space="preserve">Partner-sourced ARR FY29 (₹ cr)</t>
  </si>
  <si>
    <t xml:space="preserve">Partner share of new logo FY29</t>
  </si>
  <si>
    <t xml:space="preserve">D6 / board objective 5</t>
  </si>
  <si>
    <t xml:space="preserve">Both numerator and denominator rise</t>
  </si>
  <si>
    <t xml:space="preserve">Channel saving vs direct FY29 (₹ cr)</t>
  </si>
  <si>
    <t xml:space="preserve">D6 channel P&amp;L</t>
  </si>
  <si>
    <t xml:space="preserve">Partner pipeline required FY29 (₹ cr)</t>
  </si>
  <si>
    <t xml:space="preserve">Total new-logo ARR FY29 (₹ cr)</t>
  </si>
  <si>
    <t xml:space="preserve">D7 bridge</t>
  </si>
  <si>
    <t xml:space="preserve">Closing ARR FY27 (₹ cr)</t>
  </si>
  <si>
    <t xml:space="preserve">Closing ARR FY28 (₹ cr)</t>
  </si>
  <si>
    <t xml:space="preserve">Closing ARR FY29 (₹ cr)</t>
  </si>
  <si>
    <t xml:space="preserve">D7 bridge / D8</t>
  </si>
  <si>
    <t xml:space="preserve">Also compounds: more customers expand and renew</t>
  </si>
  <si>
    <t xml:space="preserve">Growth guardrail</t>
  </si>
  <si>
    <t xml:space="preserve">Closing ARR FY29 vs board path (₹ cr)</t>
  </si>
  <si>
    <t xml:space="preserve">D8</t>
  </si>
  <si>
    <t xml:space="preserve">Retention</t>
  </si>
  <si>
    <t xml:space="preserve">Does not move: win rate affects new logos only</t>
  </si>
  <si>
    <t xml:space="preserve">Revenue FY29 (₹ cr)</t>
  </si>
  <si>
    <t xml:space="preserve">P&amp;L</t>
  </si>
  <si>
    <t xml:space="preserve">Subscription and hardware both rise</t>
  </si>
  <si>
    <t xml:space="preserve">Gross margin after partner margin FY29</t>
  </si>
  <si>
    <t xml:space="preserve">GM guardrail</t>
  </si>
  <si>
    <t xml:space="preserve">More hardware (25% margin) dilutes GM slightly</t>
  </si>
  <si>
    <t xml:space="preserve">EBITDA FY27 (₹ cr)</t>
  </si>
  <si>
    <t xml:space="preserve">EBITDA FY29 (₹ cr)</t>
  </si>
  <si>
    <t xml:space="preserve">CAC payback, worst quarter (months)</t>
  </si>
  <si>
    <t xml:space="preserve">Payback guardrail</t>
  </si>
  <si>
    <t xml:space="preserve">Q1 FY27 is locked, so the worst quarter barely moves</t>
  </si>
  <si>
    <t xml:space="preserve">CAC payback Q4 FY28 (months)</t>
  </si>
  <si>
    <t xml:space="preserve">S&amp;M as % of ARR FY29</t>
  </si>
  <si>
    <t xml:space="preserve">S&amp;M guardrail</t>
  </si>
  <si>
    <t xml:space="preserve">Investment payback vs do-nothing, FY29 (months)</t>
  </si>
  <si>
    <t xml:space="preserve">Inject 1 / D8</t>
  </si>
  <si>
    <t xml:space="preserve">Checks and guardrails</t>
  </si>
  <si>
    <t xml:space="preserve">Every guardrail in the brief. A failed test is disclosed with its fix in the memo, not hidden.</t>
  </si>
  <si>
    <t xml:space="preserve">Check</t>
  </si>
  <si>
    <t xml:space="preserve">Result</t>
  </si>
  <si>
    <t xml:space="preserve">Threshold / note</t>
  </si>
  <si>
    <t xml:space="preserve">ARR bridge ties every quarter (sum of absolute differences)</t>
  </si>
  <si>
    <t xml:space="preserve">Opening + new + expansion − contraction − churn = closing</t>
  </si>
  <si>
    <t xml:space="preserve">No formula errors in model sheets</t>
  </si>
  <si>
    <t xml:space="preserve">Total new logo = direct + partner (counted once)</t>
  </si>
  <si>
    <t xml:space="preserve">No double counting</t>
  </si>
  <si>
    <t xml:space="preserve">Investment within FY27 envelope</t>
  </si>
  <si>
    <t xml:space="preserve">₹15 cr (₹18 cr Aggressive)</t>
  </si>
  <si>
    <t xml:space="preserve">Gross margin after partner margin ≥ 66%, lowest year</t>
  </si>
  <si>
    <t xml:space="preserve">Every year</t>
  </si>
  <si>
    <t xml:space="preserve">CAC payback ≤ 30 months, worst quarter</t>
  </si>
  <si>
    <t xml:space="preserve">Every quarter</t>
  </si>
  <si>
    <t xml:space="preserve">CAC payback ≤ 24 months by Q4 FY28</t>
  </si>
  <si>
    <t xml:space="preserve">S&amp;M ≤ 30% of ARR by FY29</t>
  </si>
  <si>
    <t xml:space="preserve">FY26 31%</t>
  </si>
  <si>
    <t xml:space="preserve">Net new AEs in FY27 ≤ 12</t>
  </si>
  <si>
    <t xml:space="preserve">64 → 76 at most</t>
  </si>
  <si>
    <t xml:space="preserve">AE headcount end-FY27 ≤ 76</t>
  </si>
  <si>
    <t xml:space="preserve">New channel roles FY27 ≤ 6</t>
  </si>
  <si>
    <t xml:space="preserve">VP Channel + 2 partner managers (D6)</t>
  </si>
  <si>
    <t xml:space="preserve">Pipeline arithmetic: deals worked ≤ AE capacity every quarter</t>
  </si>
  <si>
    <t xml:space="preserve">Required pipeline = bookings ÷ win rate (Bookings row 15)</t>
  </si>
  <si>
    <t xml:space="preserve">Pipeline arithmetic: deals worked ≤ pipeline supply every quarter</t>
  </si>
  <si>
    <t xml:space="preserve">Partner pipeline required ≤ partner capacity, every year</t>
  </si>
  <si>
    <t xml:space="preserve">Growth FY27 ≥ 15%</t>
  </si>
  <si>
    <t xml:space="preserve">Or defended shortfall (memo §4)</t>
  </si>
  <si>
    <t xml:space="preserve">Growth FY28 ≥ 20%</t>
  </si>
  <si>
    <t xml:space="preserve">Growth FY29 ≥ 22%</t>
  </si>
  <si>
    <t xml:space="preserve">FY29 NRR vs 108% goal</t>
  </si>
  <si>
    <t xml:space="preserve">Partner share of new logo FY29 ≥ 25%</t>
  </si>
  <si>
    <t xml:space="preserve">Board objective 5</t>
  </si>
  <si>
    <t xml:space="preserve">D6 reconciliation: Base partner ARR FY27+FY28+FY29 = ₹33.27 cr</t>
  </si>
  <si>
    <t xml:space="preserve">Only tested in Base with shifts at 0</t>
  </si>
  <si>
    <t xml:space="preserve">Sensitivity shifts all zero (plan view)</t>
  </si>
  <si>
    <t xml:space="preserve">Reminder when flexing</t>
  </si>
  <si>
    <t xml:space="preserve">Count of failed guardrails (ERROR / OVER / BREACH)</t>
  </si>
  <si>
    <t xml:space="preserve">Count of shortfalls against board goals (disclosed and defended)</t>
  </si>
  <si>
    <t xml:space="preserve">AE capacity: hiring, ramp, attrition</t>
  </si>
  <si>
    <t xml:space="preserve">Cohorts by tenure band. Hires enter the 0–6 month band; half of each 6-month band and a quarter of the 12–24 band move up each quarter. Leavers are backfilled the next quarter.</t>
  </si>
  <si>
    <t xml:space="preserve">Line</t>
  </si>
  <si>
    <t xml:space="preserve">FY26 / start</t>
  </si>
  <si>
    <t xml:space="preserve">Note / source</t>
  </si>
  <si>
    <t xml:space="preserve">Net new AE hires</t>
  </si>
  <si>
    <t xml:space="preserve">Backfill hires (last quarter's leavers)</t>
  </si>
  <si>
    <t xml:space="preserve">Quarterly attrition rate (base)</t>
  </si>
  <si>
    <t xml:space="preserve">Band 0–6 months</t>
  </si>
  <si>
    <t xml:space="preserve">  start</t>
  </si>
  <si>
    <t xml:space="preserve">  exits</t>
  </si>
  <si>
    <t xml:space="preserve">  moving up</t>
  </si>
  <si>
    <t xml:space="preserve">  end</t>
  </si>
  <si>
    <t xml:space="preserve">Band 6–12 months</t>
  </si>
  <si>
    <t xml:space="preserve">Band 12–24 months</t>
  </si>
  <si>
    <t xml:space="preserve">Band 24+ months</t>
  </si>
  <si>
    <t xml:space="preserve">AE headcount, end of quarter</t>
  </si>
  <si>
    <t xml:space="preserve">Guardrail: ≤ 76 at end-FY27 (64 + 12)</t>
  </si>
  <si>
    <t xml:space="preserve">Leavers in quarter</t>
  </si>
  <si>
    <t xml:space="preserve">AE-years in quarter (for cost)</t>
  </si>
  <si>
    <t xml:space="preserve">Ramped-AE equivalents (quarter average)</t>
  </si>
  <si>
    <t xml:space="preserve">Weights 0 / 0.33 / 0.66 / 1.0 by tenure band (D1). FY26 actual: 48.5 ramped-AE years.</t>
  </si>
  <si>
    <t xml:space="preserve">Effective annual attrition</t>
  </si>
  <si>
    <t xml:space="preserve">Cumulative net new AEs (from 64)</t>
  </si>
  <si>
    <t xml:space="preserve">Direct new-logo bookings and pipeline required</t>
  </si>
  <si>
    <t xml:space="preserve">Capacity (ramped AEs × deals carried × 3 ÷ cycle) meets pipeline supply; bookings = deals worked × win rate × net deal size. Q1 FY27 = locked D4 forecast.</t>
  </si>
  <si>
    <t xml:space="preserve">Win rate (incl. shifts)</t>
  </si>
  <si>
    <t xml:space="preserve">Linear path from FY26 actual to each year's scenario value</t>
  </si>
  <si>
    <t xml:space="preserve">Sales cycle (months)</t>
  </si>
  <si>
    <t xml:space="preserve">Discount</t>
  </si>
  <si>
    <t xml:space="preserve">Net won deal (₹ cr)</t>
  </si>
  <si>
    <t xml:space="preserve">AE deal capacity (qualified deals closed / quarter)</t>
  </si>
  <si>
    <t xml:space="preserve">Qualified pipeline supply (deals / quarter)</t>
  </si>
  <si>
    <t xml:space="preserve">Qualified deals worked to close</t>
  </si>
  <si>
    <t xml:space="preserve">Binding constraint</t>
  </si>
  <si>
    <t xml:space="preserve">Deals won</t>
  </si>
  <si>
    <t xml:space="preserve">Direct new-logo ARR (₹ cr)</t>
  </si>
  <si>
    <t xml:space="preserve">Q1 FY27: D4 locked p50 ₹8.71 cr total new-logo less partner ARR. Win-rate shifts do not move Q1 (already forecast).</t>
  </si>
  <si>
    <t xml:space="preserve">Pipeline required = direct ARR ÷ win rate (₹ cr)</t>
  </si>
  <si>
    <t xml:space="preserve">AE capacity used</t>
  </si>
  <si>
    <t xml:space="preserve">BOARD GROWTH PATH: WHAT IT WOULD TAKE</t>
  </si>
  <si>
    <t xml:space="preserve">Total new-logo ARR needed for board path (₹ cr)</t>
  </si>
  <si>
    <t xml:space="preserve">Direct new-logo ARR needed (₹ cr)</t>
  </si>
  <si>
    <t xml:space="preserve">Qualified deals needed at plan win rate and deal size</t>
  </si>
  <si>
    <t xml:space="preserve">AE deal capacity in the year</t>
  </si>
  <si>
    <t xml:space="preserve">Capacity surplus / (gap), deals</t>
  </si>
  <si>
    <t xml:space="preserve">Negative = the board path needs more AE capacity or pipeline than the plan funds</t>
  </si>
  <si>
    <t xml:space="preserve">Extra ramped AEs needed to close the gap</t>
  </si>
  <si>
    <t xml:space="preserve">Or: win rate needed with plan capacity</t>
  </si>
  <si>
    <t xml:space="preserve">Channel: partner-sourced ARR and channel P&amp;L</t>
  </si>
  <si>
    <t xml:space="preserve">Reproduces D6 in the Base scenario. Partner ARR is counted once (not in direct bookings). Win-rate shift scales partner win rate too.</t>
  </si>
  <si>
    <t xml:space="preserve">Partners activated in year</t>
  </si>
  <si>
    <t xml:space="preserve">Active partners, end of year</t>
  </si>
  <si>
    <t xml:space="preserve">6 retained existing partners (D6 keep/fix) + activations</t>
  </si>
  <si>
    <t xml:space="preserve">Mature productivity, after shifts (₹ cr)</t>
  </si>
  <si>
    <t xml:space="preserve">Existing partners' ARR</t>
  </si>
  <si>
    <t xml:space="preserve">FY27 recruits' ARR</t>
  </si>
  <si>
    <t xml:space="preserve">FY28 recruits' ARR</t>
  </si>
  <si>
    <t xml:space="preserve">FY29 recruits' ARR</t>
  </si>
  <si>
    <t xml:space="preserve">Partner-sourced new-logo ARR (₹ cr)</t>
  </si>
  <si>
    <t xml:space="preserve">D6 Base: ₹3.70 / 9.86 / 19.71 cr</t>
  </si>
  <si>
    <t xml:space="preserve">Share of total new-logo ARR</t>
  </si>
  <si>
    <t xml:space="preserve">Year-1 partner margin</t>
  </si>
  <si>
    <t xml:space="preserve">Renewal margin on earlier partner cohorts</t>
  </si>
  <si>
    <t xml:space="preserve">Total partner margin (in gross margin)</t>
  </si>
  <si>
    <t xml:space="preserve">Channel fixed cost excl. MDF (incremental)</t>
  </si>
  <si>
    <t xml:space="preserve">Partner MDF (inside existing programme budget)</t>
  </si>
  <si>
    <t xml:space="preserve">Direct effort on partner deals (AE, SE, 50% credit)</t>
  </si>
  <si>
    <t xml:space="preserve">Total channel cost</t>
  </si>
  <si>
    <t xml:space="preserve">Direct S&amp;M cost avoided</t>
  </si>
  <si>
    <t xml:space="preserve">Saving / (extra cost) vs selling direct</t>
  </si>
  <si>
    <t xml:space="preserve">Incremental lens, first year: gross profit − total cost</t>
  </si>
  <si>
    <t xml:space="preserve">Break-even sourced ARR per active partner (substitution, ₹ cr)</t>
  </si>
  <si>
    <t xml:space="preserve">D6 panel answer (~₹0.24 cr in FY29)</t>
  </si>
  <si>
    <t xml:space="preserve">Partner pipeline required = partner ARR ÷ partner win rate (₹ cr)</t>
  </si>
  <si>
    <t xml:space="preserve">Partner pipeline capacity: mature-equivalent partners × 10 deals × deal (₹ cr)</t>
  </si>
  <si>
    <t xml:space="preserve">Mature-equivalent partners × 10 qualified deals a year × average partner deal</t>
  </si>
  <si>
    <t xml:space="preserve">Quarterly partner-sourced ARR (₹ cr)</t>
  </si>
  <si>
    <t xml:space="preserve">Quarterly partner margin (₹ cr)</t>
  </si>
  <si>
    <t xml:space="preserve">Check: quarterly phasing sums to annual</t>
  </si>
  <si>
    <t xml:space="preserve">Quarterly ARR bridge, FY27–FY29</t>
  </si>
  <si>
    <t xml:space="preserve">Opening + new logo (direct + partner) + expansion − contraction − churn − Vajra re-tender = closing. Retention rates apply to opening ARR excluding Vajra until its Q4 FY27 renewal.</t>
  </si>
  <si>
    <t xml:space="preserve">Opening ARR</t>
  </si>
  <si>
    <t xml:space="preserve">New logo: direct</t>
  </si>
  <si>
    <t xml:space="preserve">New logo: partner-sourced</t>
  </si>
  <si>
    <t xml:space="preserve">Expansion</t>
  </si>
  <si>
    <t xml:space="preserve">Contraction</t>
  </si>
  <si>
    <t xml:space="preserve">Churn</t>
  </si>
  <si>
    <t xml:space="preserve">Vajra re-tender (Inject 4): expected ARR lost</t>
  </si>
  <si>
    <t xml:space="preserve">Closing ARR</t>
  </si>
  <si>
    <t xml:space="preserve">FY26 closing ARR ₹310 cr (DR3)</t>
  </si>
  <si>
    <t xml:space="preserve">Check: bridge ties (should be 0)</t>
  </si>
  <si>
    <t xml:space="preserve">ARR base for retention rates (excl. Vajra in FY27)</t>
  </si>
  <si>
    <t xml:space="preserve">Total new-logo ARR</t>
  </si>
  <si>
    <t xml:space="preserve">ARR growth</t>
  </si>
  <si>
    <t xml:space="preserve">FY26: 14.0%. Board path 15% / 20% / 22%.</t>
  </si>
  <si>
    <t xml:space="preserve">Board-path closing ARR</t>
  </si>
  <si>
    <t xml:space="preserve">Closing ARR vs board path</t>
  </si>
  <si>
    <t xml:space="preserve">Net revenue retention (opening-base approximation)</t>
  </si>
  <si>
    <t xml:space="preserve">FY26 98.9% (D1). Board goal 108% by FY29.</t>
  </si>
  <si>
    <t xml:space="preserve">Gross revenue retention</t>
  </si>
  <si>
    <t xml:space="preserve">Do-nothing closing ARR</t>
  </si>
  <si>
    <t xml:space="preserve">Incremental ARR vs do-nothing</t>
  </si>
  <si>
    <t xml:space="preserve">Profit and loss, gross margin and CAC payback</t>
  </si>
  <si>
    <t xml:space="preserve">Partner margin is charged to gross margin for the 66% floor test (today it sits in S&amp;M). CAC payback uses the board-pack definition (DR3).</t>
  </si>
  <si>
    <t xml:space="preserve">Average ARR in quarter</t>
  </si>
  <si>
    <t xml:space="preserve">Subscription revenue</t>
  </si>
  <si>
    <t xml:space="preserve">Hardware revenue</t>
  </si>
  <si>
    <t xml:space="preserve">Hardware attaches to new and expansion ARR (DR3 FY26 ratio); not in ARR</t>
  </si>
  <si>
    <t xml:space="preserve">Total revenue</t>
  </si>
  <si>
    <t xml:space="preserve">Software cost of revenue</t>
  </si>
  <si>
    <t xml:space="preserve">Hardware cost of revenue</t>
  </si>
  <si>
    <t xml:space="preserve">Gross profit before partner margin</t>
  </si>
  <si>
    <t xml:space="preserve">Gross margin before partner margin</t>
  </si>
  <si>
    <t xml:space="preserve">Partner margin</t>
  </si>
  <si>
    <t xml:space="preserve">Gross profit after partner margin</t>
  </si>
  <si>
    <t xml:space="preserve">Gross margin after partner margin</t>
  </si>
  <si>
    <t xml:space="preserve">Floor 66% every year incl. partner margin</t>
  </si>
  <si>
    <t xml:space="preserve">S&amp;M: existing lines excl. AE pay (inflated)</t>
  </si>
  <si>
    <t xml:space="preserve">S&amp;M: AE pay (all AEs)</t>
  </si>
  <si>
    <t xml:space="preserve">S&amp;M: initiatives (excl. net new AE pay)</t>
  </si>
  <si>
    <t xml:space="preserve">Total S&amp;M</t>
  </si>
  <si>
    <t xml:space="preserve">R&amp;D (incl. sensor-agnostic readiness)</t>
  </si>
  <si>
    <t xml:space="preserve">G&amp;A</t>
  </si>
  <si>
    <t xml:space="preserve">EBITDA</t>
  </si>
  <si>
    <t xml:space="preserve">EBITDA margin</t>
  </si>
  <si>
    <t xml:space="preserve">CAC payback, margin-adjusted (months)</t>
  </si>
  <si>
    <t xml:space="preserve">S&amp;M ÷ ((new + expansion ARR) × GM) × 12 (DR3 definition). Cap 30 every quarter, 24 by Q4 FY28.</t>
  </si>
  <si>
    <t xml:space="preserve">S&amp;M as % of closing ARR (annualised)</t>
  </si>
  <si>
    <t xml:space="preserve">FY26 31.0%; ≤ 30% by FY29</t>
  </si>
  <si>
    <t xml:space="preserve">Investment: FY27 envelope and run-rate cost of initiatives</t>
  </si>
  <si>
    <t xml:space="preserve">Costs in ₹ cr. Flags (1/0) say which scenarios include a line. Q2 lines start once the plan is approved (Q2 FY27); H2 lines start in Q3 FY27. AE hiring and channel lines link to the model.</t>
  </si>
  <si>
    <t xml:space="preserve">Initiative</t>
  </si>
  <si>
    <t xml:space="preserve">Down</t>
  </si>
  <si>
    <t xml:space="preserve">Aggr</t>
  </si>
  <si>
    <t xml:space="preserve">Capped</t>
  </si>
  <si>
    <t xml:space="preserve">Phasing FY27</t>
  </si>
  <si>
    <t xml:space="preserve">Live FY27</t>
  </si>
  <si>
    <t xml:space="preserve">Live FY28</t>
  </si>
  <si>
    <t xml:space="preserve">Live FY29</t>
  </si>
  <si>
    <t xml:space="preserve">Source / what it buys</t>
  </si>
  <si>
    <t xml:space="preserve">Q1 FY27 S&amp;M</t>
  </si>
  <si>
    <t xml:space="preserve">Q2 FY27 S&amp;M</t>
  </si>
  <si>
    <t xml:space="preserve">Q3 FY27 S&amp;M</t>
  </si>
  <si>
    <t xml:space="preserve">Q4 FY27 S&amp;M</t>
  </si>
  <si>
    <t xml:space="preserve">Retention squad: 4 CSMs + adoption programme</t>
  </si>
  <si>
    <t xml:space="preserve">Even</t>
  </si>
  <si>
    <t xml:space="preserve">Inject 1; churn and contraction assumptions</t>
  </si>
  <si>
    <t xml:space="preserve">S&amp;M</t>
  </si>
  <si>
    <t xml:space="preserve">Top-30 expansion programme (incentives + 1 solutions architect)</t>
  </si>
  <si>
    <t xml:space="preserve">Q2</t>
  </si>
  <si>
    <t xml:space="preserve">Inject 1; expansion assumption</t>
  </si>
  <si>
    <t xml:space="preserve">AE retention pool (tenured AEs)</t>
  </si>
  <si>
    <t xml:space="preserve">Inject 1; AE attrition assumption</t>
  </si>
  <si>
    <t xml:space="preserve">Partner incentives and SPIFFs</t>
  </si>
  <si>
    <t xml:space="preserve">Inject 1 / D6</t>
  </si>
  <si>
    <t xml:space="preserve">Value-selling enablement (training, calculator, 1 value engineer)</t>
  </si>
  <si>
    <t xml:space="preserve">Inject 1 / D3; win rate and discount</t>
  </si>
  <si>
    <t xml:space="preserve">Solutions engineers for paid pilots</t>
  </si>
  <si>
    <t xml:space="preserve">Inject 1; proof-of-value (D1 driver)</t>
  </si>
  <si>
    <t xml:space="preserve">RevOps analysts (2) + forecasting tool</t>
  </si>
  <si>
    <t xml:space="preserve">Inject 1 / D4</t>
  </si>
  <si>
    <t xml:space="preserve">Sensor-agnostic tier: launch readiness (no earlier than Q4 FY27)</t>
  </si>
  <si>
    <t xml:space="preserve">Inject 1; guardrail; cannibalisation plan in D8</t>
  </si>
  <si>
    <t xml:space="preserve">R&amp;D</t>
  </si>
  <si>
    <t xml:space="preserve">Helix-incumbent renewal protection (exec sponsors, MES pack)</t>
  </si>
  <si>
    <t xml:space="preserve">Inject 1 / D5; churn</t>
  </si>
  <si>
    <t xml:space="preserve">RESERVE: Vajra retention plan (Inject 4)</t>
  </si>
  <si>
    <t xml:space="preserve">H2</t>
  </si>
  <si>
    <t xml:space="preserve">Inject 4 sheet; released at Q2 review (defensive, all scenarios)</t>
  </si>
  <si>
    <t xml:space="preserve">RESERVE: second retention squad for Helix-incumbent renewals</t>
  </si>
  <si>
    <t xml:space="preserve">Inject 1 option (payback 14.1 months); released only if Q2 triggers met</t>
  </si>
  <si>
    <t xml:space="preserve">RESERVE: restore SE pilot capacity cut in Inject 1</t>
  </si>
  <si>
    <t xml:space="preserve">Inject 1</t>
  </si>
  <si>
    <t xml:space="preserve">AGGRESSIVE ONLY: extra ₹3 cr items (demand generation for SEA/Gulf)</t>
  </si>
  <si>
    <t xml:space="preserve">Original ₹18 cr draft</t>
  </si>
  <si>
    <t xml:space="preserve">Net new AEs: pay and recruiting (from Capacity)</t>
  </si>
  <si>
    <t xml:space="preserve">Model</t>
  </si>
  <si>
    <t xml:space="preserve">Cumulative net new AEs × loaded cost (inflated) + ₹3.5 lakh per hire</t>
  </si>
  <si>
    <t xml:space="preserve">Channel foundation: VP Channel, partner managers, enablement, PRM (from Channel)</t>
  </si>
  <si>
    <t xml:space="preserve">D6; 3 channel roles in FY27 (cap 6)</t>
  </si>
  <si>
    <t xml:space="preserve">Total incremental investment</t>
  </si>
  <si>
    <t xml:space="preserve">FY27 envelope for the selected scenario</t>
  </si>
  <si>
    <t xml:space="preserve">Headroom / (over) in FY27</t>
  </si>
  <si>
    <t xml:space="preserve">of which R&amp;D (outside S&amp;M)</t>
  </si>
  <si>
    <t xml:space="preserve">of which S&amp;M, excluding net new AE pay (already in S&amp;M AE pay line)</t>
  </si>
  <si>
    <t xml:space="preserve">PAYBACK OF THE INVESTMENT AGAINST DOING NOTHING</t>
  </si>
  <si>
    <t xml:space="preserve">Cumulative incremental investment (₹ cr)</t>
  </si>
  <si>
    <t xml:space="preserve">Incremental ARR vs do-nothing, end of year (₹ cr)</t>
  </si>
  <si>
    <t xml:space="preserve">Investment payback (months) = cumulative investment ÷ (incremental ARR × gross margin) × 12</t>
  </si>
  <si>
    <t xml:space="preserve">Stops paying back when incremental ARR ≤ 0, or payback &gt; 30 months (see Sensitivity break-even)</t>
  </si>
  <si>
    <t xml:space="preserve">Incremental ARR vs conservative counterfactual (FY26 rates held)</t>
  </si>
  <si>
    <t xml:space="preserve">Investment payback vs conservative counterfactual (months)</t>
  </si>
  <si>
    <t xml:space="preserve">Counterfactual: do nothing</t>
  </si>
  <si>
    <t xml:space="preserve">64 AEs, no investment, FY24–26 trends continue (win rate falling, Helix pressure on NRR). Used for investment payback and the CEO's question.</t>
  </si>
  <si>
    <t xml:space="preserve">FY26</t>
  </si>
  <si>
    <t xml:space="preserve">New-logo ARR</t>
  </si>
  <si>
    <t xml:space="preserve">NRR</t>
  </si>
  <si>
    <t xml:space="preserve">Do-nothing still grows (~9–10% a year) because the base renews; it misses the board path by more each year.</t>
  </si>
  <si>
    <t xml:space="preserve">Growth</t>
  </si>
  <si>
    <t xml:space="preserve">CONSERVATIVE COUNTERFACTUAL: FY26 rates held flat (no further decline)</t>
  </si>
  <si>
    <t xml:space="preserve">Stricter test: credits the plan only with gains beyond FY26 performance</t>
  </si>
  <si>
    <t xml:space="preserve">Inject 4: Vajra Auto Components (₹9.5 cr ARR) asks for a competitive re-tender against Helix</t>
  </si>
  <si>
    <t xml:space="preserve">Week 8. Renewal due Q4 FY27. Top-five customer (DR2 CU-1095).</t>
  </si>
  <si>
    <t xml:space="preserve">ARR at stake (₹ cr)</t>
  </si>
  <si>
    <t xml:space="preserve">Share of FY26 closing ARR</t>
  </si>
  <si>
    <t xml:space="preserve">Probability of loss WITHOUT a retention plan</t>
  </si>
  <si>
    <t xml:space="preserve">D5: Helix-incumbent re-tenders; HelixAsset free until 31 Mar 2027 (Inject 2); Helix bundle is the #1 churn driver (D1)</t>
  </si>
  <si>
    <t xml:space="preserve">Price concession if retained WITHOUT a plan</t>
  </si>
  <si>
    <t xml:space="preserve">Reactive discounting at the D5 ceiling</t>
  </si>
  <si>
    <t xml:space="preserve">Probability of loss WITH the retention plan (selected scenario)</t>
  </si>
  <si>
    <t xml:space="preserve">Price concession WITH the plan (selected scenario)</t>
  </si>
  <si>
    <t xml:space="preserve">Cost of the retention plan, FY27 (₹ cr)</t>
  </si>
  <si>
    <t xml:space="preserve">Expected ARR lost WITHOUT plan (₹ cr)</t>
  </si>
  <si>
    <t xml:space="preserve">Expected ARR lost WITH plan (₹ cr)</t>
  </si>
  <si>
    <t xml:space="preserve">Used in ARR bridge, Q4 FY27 (₹ cr)</t>
  </si>
  <si>
    <t xml:space="preserve">Expected ARR saved by the plan (₹ cr)</t>
  </si>
  <si>
    <t xml:space="preserve">Payback of the plan (months, margin-adjusted)</t>
  </si>
  <si>
    <t xml:space="preserve">Outcome</t>
  </si>
  <si>
    <t xml:space="preserve">Q4 FY27 ARR lost</t>
  </si>
  <si>
    <t xml:space="preserve">FY27 closing ARR</t>
  </si>
  <si>
    <t xml:space="preserve">FY27 NRR</t>
  </si>
  <si>
    <t xml:space="preserve">FY27 growth</t>
  </si>
  <si>
    <t xml:space="preserve">Expected (plan, selected scenario)</t>
  </si>
  <si>
    <t xml:space="preserve">Retained at plan concession</t>
  </si>
  <si>
    <t xml:space="preserve">Lost</t>
  </si>
  <si>
    <t xml:space="preserve">Losing Vajra costs ~3 pts of FY27 NRR on its own</t>
  </si>
  <si>
    <t xml:space="preserve">Expected WITHOUT plan</t>
  </si>
  <si>
    <t xml:space="preserve">Forecast effect: Q4 FY27 net new ARR, expected vs retained vs lost (₹ cr)</t>
  </si>
  <si>
    <t xml:space="preserve">Q4 FY27 net ARR added (model, expected)</t>
  </si>
  <si>
    <t xml:space="preserve">If lost</t>
  </si>
  <si>
    <t xml:space="preserve">If retained at plan concession</t>
  </si>
  <si>
    <t xml:space="preserve">RETENTION PLAN</t>
  </si>
  <si>
    <t xml:space="preserve">1. Week 8–9: CEO and CRO meet Vajra's MD and CFO; agree re-tender scope and evaluation criteria before Helix sets them.</t>
  </si>
  <si>
    <t xml:space="preserve">2. Business review from Vajra's own usage data: assets monitored, failures caught, downtime avoided (D3 value model applied to their plants).</t>
  </si>
  <si>
    <t xml:space="preserve">3. Offer a 3-year renewal with price lock and a capped concession (8% base, within the D5 15% limit), plus expansion to the two plants not yet covered.</t>
  </si>
  <si>
    <t xml:space="preserve">4. MES integration pack and named executive sponsor (Helix-incumbent renewal protection line); dedicated CSM from the retention squad.</t>
  </si>
  <si>
    <t xml:space="preserve">5. Do not match 'free': HelixAsset is free only until 31 Mar 2027; show the three-year total cost and switching risk (D5 Helix battlecard).</t>
  </si>
  <si>
    <t xml:space="preserve">6. Triggers: exec meeting held by week 10; business review delivered by end-Q2; if Vajra shortlists Helix on price alone, escalate to CEO with the 3-year offer; decision expected Jan 2027.</t>
  </si>
  <si>
    <t xml:space="preserve">Traceability map: every major assumption and where it came from</t>
  </si>
  <si>
    <t xml:space="preserve">Assumption (model location)</t>
  </si>
  <si>
    <t xml:space="preserve">Value used (Base)</t>
  </si>
  <si>
    <t xml:space="preserve">Evidence and source</t>
  </si>
  <si>
    <t xml:space="preserve">Owner deliverable</t>
  </si>
  <si>
    <t xml:space="preserve">Opening ARR and FY26 bridge (ARR_bridge B12)</t>
  </si>
  <si>
    <t xml:space="preserve">₹310 cr; +41 new, +22 exp, −9 con, −16 churn</t>
  </si>
  <si>
    <t xml:space="preserve">DR3 pl_quarterly; DR2 arr_movements</t>
  </si>
  <si>
    <t xml:space="preserve">Direct win rate FY26 (Assumptions)</t>
  </si>
  <si>
    <t xml:space="preserve">17.1%</t>
  </si>
  <si>
    <t xml:space="preserve">DR1 cleaned (30 duplicates, 16 tests, 88 DQ-as-lost removed; D1 rules)</t>
  </si>
  <si>
    <t xml:space="preserve">Win-rate path</t>
  </si>
  <si>
    <t xml:space="preserve">19.5% / 21.5% / 22.5%</t>
  </si>
  <si>
    <t xml:space="preserve">D2 tier mix (+2.9 pts at full effect); D5 battlecards (+0.6 pts beyond D2); Inject 2 holds Helix-incumbent win at 7%</t>
  </si>
  <si>
    <t xml:space="preserve">D2, D5</t>
  </si>
  <si>
    <t xml:space="preserve">Sales cycle</t>
  </si>
  <si>
    <t xml:space="preserve">8.1 → 7.3 months</t>
  </si>
  <si>
    <t xml:space="preserve">DR1 stage history; D4 stage-exit rules; D3 business-case discipline</t>
  </si>
  <si>
    <t xml:space="preserve">D1, D3, D4</t>
  </si>
  <si>
    <t xml:space="preserve">Deal size and discount</t>
  </si>
  <si>
    <t xml:space="preserve">₹71.4 → 77 lakh list; 19.3% → 15%</t>
  </si>
  <si>
    <t xml:space="preserve">DR1 FY26 won deals; D3 negotiation plan; D5 discount limits (cap 15%)</t>
  </si>
  <si>
    <t xml:space="preserve">D3, D5</t>
  </si>
  <si>
    <t xml:space="preserve">Win-rate response to discount</t>
  </si>
  <si>
    <t xml:space="preserve">0.1 pt per pt</t>
  </si>
  <si>
    <t xml:space="preserve">D1 discount-creep test; D5 DISCOUNT-NO-EFFECT interview code (to validate in interviews)</t>
  </si>
  <si>
    <t xml:space="preserve">D1, D5</t>
  </si>
  <si>
    <t xml:space="preserve">Qualified pipeline supply</t>
  </si>
  <si>
    <t xml:space="preserve">380 / 430 / 470 deals</t>
  </si>
  <si>
    <t xml:space="preserve">DR1 FY26 392; D2 tiering and ₹24 cr programme reallocation</t>
  </si>
  <si>
    <t xml:space="preserve">D2</t>
  </si>
  <si>
    <t xml:space="preserve">Deals an AE carries at once</t>
  </si>
  <si>
    <t xml:space="preserve">5.4</t>
  </si>
  <si>
    <t xml:space="preserve">DR3 ae_quarterly (48.5 ramped-AE years) × DR1 closes and cycle</t>
  </si>
  <si>
    <t xml:space="preserve">D1, D2</t>
  </si>
  <si>
    <t xml:space="preserve">Ramp weights by tenure</t>
  </si>
  <si>
    <t xml:space="preserve">0 / 0.33 / 0.66 / 1.0</t>
  </si>
  <si>
    <t xml:space="preserve">D1 productivity by tenure ₹0 / 0.29 / 0.59 / 0.89 cr (DR3); management's 6-month ramp rejected</t>
  </si>
  <si>
    <t xml:space="preserve">AE attrition</t>
  </si>
  <si>
    <t xml:space="preserve">29% → 24% / 22% / 20%</t>
  </si>
  <si>
    <t xml:space="preserve">DR3 roster; Inject 1 AE retention pool</t>
  </si>
  <si>
    <t xml:space="preserve">D1, Inject 1</t>
  </si>
  <si>
    <t xml:space="preserve">6 (Q3 FY27), 8 (FY28), 6 (FY29)</t>
  </si>
  <si>
    <t xml:space="preserve">Inject 1 re-prioritisation; guardrail ≤ 12 in FY27</t>
  </si>
  <si>
    <t xml:space="preserve">Inject 1, D2</t>
  </si>
  <si>
    <t xml:space="preserve">Q1 FY27 new-logo ARR</t>
  </si>
  <si>
    <t xml:space="preserve">₹8.71 cr</t>
  </si>
  <si>
    <t xml:space="preserve">D4 locked hold-out forecast (sha256 ba5b63ad…)</t>
  </si>
  <si>
    <t xml:space="preserve">D4</t>
  </si>
  <si>
    <t xml:space="preserve">Partner activations, productivity, ramp</t>
  </si>
  <si>
    <t xml:space="preserve">8 / 9 / 5; ₹1.2 cr; 15% / 60% / 100%</t>
  </si>
  <si>
    <t xml:space="preserve">DR6; D1 SEA partner win 34%; D6 economics</t>
  </si>
  <si>
    <t xml:space="preserve">Existing partner ARR after Inject 3</t>
  </si>
  <si>
    <t xml:space="preserve">₹2.26 cr</t>
  </si>
  <si>
    <t xml:space="preserve">DR1 open pipeline; P05/P11 haircut</t>
  </si>
  <si>
    <t xml:space="preserve">D6, Inject 3</t>
  </si>
  <si>
    <t xml:space="preserve">Partner margins and channel cost</t>
  </si>
  <si>
    <t xml:space="preserve">16–18% year 1; ₹2.44 / 3.46 / 4.0 cr fixed</t>
  </si>
  <si>
    <t xml:space="preserve">D6 programme design; DR3 partner manager cost</t>
  </si>
  <si>
    <t xml:space="preserve">Expansion, contraction, churn</t>
  </si>
  <si>
    <t xml:space="preserve">8.5→10.5%; 3.0→2.5%; 5.0→4.0%</t>
  </si>
  <si>
    <t xml:space="preserve">DR2/DR3 movements; D1 NRR diagnosis (Helix NRR 116% → 92%); Inject 1 retention squad; Inject 2</t>
  </si>
  <si>
    <t xml:space="preserve">Vajra re-tender</t>
  </si>
  <si>
    <t xml:space="preserve">20% loss probability; 8% concession</t>
  </si>
  <si>
    <t xml:space="preserve">Inject 4; DR2 CU-1095; D5 Helix battlecard</t>
  </si>
  <si>
    <t xml:space="preserve">D7 (Inject 4)</t>
  </si>
  <si>
    <t xml:space="preserve">Hardware attach</t>
  </si>
  <si>
    <t xml:space="preserve">1.48 → 1.05 per ₹1 new + exp ARR</t>
  </si>
  <si>
    <t xml:space="preserve">DR3 FY24–26 ratios; D1 SENSOR-REUSE interview code; sensor-agnostic tier from Q4 FY27</t>
  </si>
  <si>
    <t xml:space="preserve">D1, D8</t>
  </si>
  <si>
    <t xml:space="preserve">Cost of revenue</t>
  </si>
  <si>
    <t xml:space="preserve">Software 18%; hardware 75%</t>
  </si>
  <si>
    <t xml:space="preserve">DR3 FY26; DR3 unit costs</t>
  </si>
  <si>
    <t xml:space="preserve">S&amp;M base, AE cost, recruiting</t>
  </si>
  <si>
    <t xml:space="preserve">₹60.3 cr other lines; ₹0.56 cr per AE-year; ₹3.5 lakh per hire</t>
  </si>
  <si>
    <t xml:space="preserve">DR3 sm_by_line; unit costs</t>
  </si>
  <si>
    <t xml:space="preserve">Investment lines FY27</t>
  </si>
  <si>
    <t xml:space="preserve">₹14.95 cr of ₹15 cr</t>
  </si>
  <si>
    <t xml:space="preserve">Inject 1 envelope workbook (reserve released at Q2 review)</t>
  </si>
  <si>
    <t xml:space="preserve">R&amp;D and G&amp;A growth</t>
  </si>
  <si>
    <t xml:space="preserve">6% / 4% a year</t>
  </si>
  <si>
    <t xml:space="preserve">Assumption; no new hardware (guardrail)</t>
  </si>
  <si>
    <t xml:space="preserve">D7</t>
  </si>
  <si>
    <t xml:space="preserve">Do-nothing counterfactual</t>
  </si>
  <si>
    <t xml:space="preserve">New logo −5% a year; NRR −1 pt a year</t>
  </si>
  <si>
    <t xml:space="preserve">D1 trends FY24–26 (win 27% → 17%; NRR 118% → 99%)</t>
  </si>
  <si>
    <t xml:space="preserve">Guardrails and board path</t>
  </si>
  <si>
    <t xml:space="preserve">15/20/22%; GM 66%; payback 30/24; S&amp;M 30%</t>
  </si>
  <si>
    <t xml:space="preserve">Brief §4 and §6</t>
  </si>
  <si>
    <t xml:space="preserve">Brief</t>
  </si>
  <si>
    <t xml:space="preserve">CAC payback definition</t>
  </si>
  <si>
    <t xml:space="preserve">S&amp;M ÷ ((new + exp ARR) × GM) × 12</t>
  </si>
  <si>
    <t xml:space="preserve">DR3 definitions (board-pack method)</t>
  </si>
  <si>
    <t xml:space="preserve">Primary evidence</t>
  </si>
  <si>
    <t xml:space="preserve">8 interviews (in progress)</t>
  </si>
  <si>
    <t xml:space="preserve">Interview kit and log; codes cited above are flagged until interviews are coded</t>
  </si>
  <si>
    <t xml:space="preserve">Kit</t>
  </si>
</sst>
</file>

<file path=xl/styles.xml><?xml version="1.0" encoding="utf-8"?>
<styleSheet xmlns="http://schemas.openxmlformats.org/spreadsheetml/2006/main">
  <numFmts count="14">
    <numFmt numFmtId="164" formatCode="General"/>
    <numFmt numFmtId="165" formatCode="0"/>
    <numFmt numFmtId="166" formatCode="0.0%"/>
    <numFmt numFmtId="167" formatCode="0.0"/>
    <numFmt numFmtId="168" formatCode="#,##0.00;\(#,##0.00\);\-"/>
    <numFmt numFmtId="169" formatCode="0.00"/>
    <numFmt numFmtId="170" formatCode="0.000"/>
    <numFmt numFmtId="171" formatCode="0%"/>
    <numFmt numFmtId="172" formatCode="#,##0.0;\(#,##0.0\);\-"/>
    <numFmt numFmtId="173" formatCode="\+0.0;\−0.0"/>
    <numFmt numFmtId="174" formatCode="0.000000"/>
    <numFmt numFmtId="175" formatCode="#,##0;\(#,##0\)"/>
    <numFmt numFmtId="176" formatCode="#,##0.0;\(#,##0.0\);\-"/>
    <numFmt numFmtId="177" formatCode="#,##0.0;\(#,##0.0\)"/>
  </numFmts>
  <fonts count="12">
    <font>
      <sz val="11"/>
      <color theme="1"/>
      <name val="Calibri"/>
      <family val="2"/>
      <charset val="1"/>
    </font>
    <font>
      <sz val="10"/>
      <name val="Arial"/>
      <family val="0"/>
    </font>
    <font>
      <sz val="10"/>
      <name val="Arial"/>
      <family val="0"/>
    </font>
    <font>
      <sz val="10"/>
      <name val="Arial"/>
      <family val="0"/>
    </font>
    <font>
      <b val="true"/>
      <sz val="13"/>
      <color rgb="FF1F3A5F"/>
      <name val="Arial"/>
      <family val="0"/>
      <charset val="1"/>
    </font>
    <font>
      <sz val="10"/>
      <name val="Arial"/>
      <family val="0"/>
      <charset val="1"/>
    </font>
    <font>
      <b val="true"/>
      <sz val="10"/>
      <name val="Arial"/>
      <family val="0"/>
      <charset val="1"/>
    </font>
    <font>
      <i val="true"/>
      <sz val="9"/>
      <color rgb="FF52514E"/>
      <name val="Arial"/>
      <family val="0"/>
      <charset val="1"/>
    </font>
    <font>
      <sz val="10"/>
      <color rgb="FF0000FF"/>
      <name val="Arial"/>
      <family val="0"/>
      <charset val="1"/>
    </font>
    <font>
      <sz val="9"/>
      <color rgb="FF52514E"/>
      <name val="Arial"/>
      <family val="0"/>
      <charset val="1"/>
    </font>
    <font>
      <b val="true"/>
      <sz val="10"/>
      <color rgb="FFFFFFFF"/>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A5F"/>
        <bgColor rgb="FF333399"/>
      </patternFill>
    </fill>
    <fill>
      <patternFill patternType="solid">
        <fgColor rgb="FFE8EEF5"/>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9" fontId="8" fillId="2" borderId="0" xfId="0" applyFont="true" applyBorder="false" applyAlignment="true" applyProtection="false">
      <alignment horizontal="general" vertical="bottom" textRotation="0" wrapText="false" indent="0" shrinkToFit="false"/>
      <protection locked="true" hidden="false"/>
    </xf>
    <xf numFmtId="171" fontId="8"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7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general" vertical="bottom" textRotation="0" wrapText="false" indent="0" shrinkToFit="false"/>
      <protection locked="true" hidden="false"/>
    </xf>
    <xf numFmtId="176" fontId="6" fillId="0" borderId="0" xfId="0" applyFont="true" applyBorder="false" applyAlignment="true" applyProtection="false">
      <alignment horizontal="general" vertical="bottom" textRotation="0" wrapText="false" indent="0" shrinkToFit="false"/>
      <protection locked="true" hidden="false"/>
    </xf>
    <xf numFmtId="176" fontId="8" fillId="0" borderId="0" xfId="0" applyFont="true" applyBorder="false" applyAlignment="true" applyProtection="false">
      <alignment horizontal="general" vertical="bottom" textRotation="0" wrapText="false" indent="0" shrinkToFit="false"/>
      <protection locked="true" hidden="false"/>
    </xf>
    <xf numFmtId="177" fontId="6" fillId="0"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0"/>
  </cols>
  <sheetData>
    <row r="1" customFormat="false" ht="15.75" hidden="false" customHeight="true" outlineLevel="0" collapsed="false">
      <c r="A1" s="2" t="s">
        <v>0</v>
      </c>
      <c r="B1" s="3"/>
    </row>
    <row r="2" customFormat="false" ht="15" hidden="false" customHeight="true" outlineLevel="0" collapsed="false">
      <c r="A2" s="4" t="s">
        <v>1</v>
      </c>
      <c r="B2" s="3" t="s">
        <v>2</v>
      </c>
    </row>
    <row r="3" customFormat="false" ht="23.25" hidden="false" customHeight="true" outlineLevel="0" collapsed="false">
      <c r="A3" s="4" t="s">
        <v>3</v>
      </c>
      <c r="B3" s="3" t="s">
        <v>4</v>
      </c>
    </row>
    <row r="4" customFormat="false" ht="23.25" hidden="false" customHeight="true" outlineLevel="0" collapsed="false">
      <c r="A4" s="4" t="s">
        <v>5</v>
      </c>
      <c r="B4" s="3" t="s">
        <v>6</v>
      </c>
    </row>
    <row r="5" customFormat="false" ht="34.5" hidden="false" customHeight="true" outlineLevel="0" collapsed="false">
      <c r="A5" s="4" t="s">
        <v>7</v>
      </c>
      <c r="B5" s="3" t="s">
        <v>8</v>
      </c>
    </row>
    <row r="6" customFormat="false" ht="23.25" hidden="false" customHeight="true" outlineLevel="0" collapsed="false">
      <c r="A6" s="4" t="s">
        <v>9</v>
      </c>
      <c r="B6" s="3" t="s">
        <v>10</v>
      </c>
    </row>
    <row r="7" customFormat="false" ht="23.25" hidden="false" customHeight="true" outlineLevel="0" collapsed="false">
      <c r="A7" s="4" t="s">
        <v>11</v>
      </c>
      <c r="B7" s="3" t="s">
        <v>12</v>
      </c>
    </row>
    <row r="8" customFormat="false" ht="23.25" hidden="false" customHeight="true" outlineLevel="0" collapsed="false">
      <c r="A8" s="4" t="s">
        <v>13</v>
      </c>
      <c r="B8" s="3" t="s">
        <v>14</v>
      </c>
    </row>
    <row r="9" customFormat="false" ht="15" hidden="false" customHeight="true" outlineLevel="0" collapsed="false">
      <c r="A9" s="4" t="s">
        <v>15</v>
      </c>
      <c r="B9" s="3" t="s">
        <v>16</v>
      </c>
    </row>
    <row r="10" customFormat="false" ht="23.25" hidden="false" customHeight="true" outlineLevel="0" collapsed="false">
      <c r="A10" s="4" t="s">
        <v>17</v>
      </c>
      <c r="B10"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1"/>
    <col collapsed="false" customWidth="true" hidden="false" outlineLevel="0" max="17" min="3" style="1" width="9.52"/>
    <col collapsed="false" customWidth="true" hidden="false" outlineLevel="0" max="18" min="18" style="1" width="60"/>
  </cols>
  <sheetData>
    <row r="1" customFormat="false" ht="15.75" hidden="false" customHeight="true" outlineLevel="0" collapsed="false">
      <c r="A1" s="2" t="s">
        <v>19</v>
      </c>
    </row>
    <row r="2" customFormat="false" ht="15" hidden="false" customHeight="true" outlineLevel="0" collapsed="false">
      <c r="A2" s="5" t="s">
        <v>20</v>
      </c>
    </row>
    <row r="4" customFormat="false" ht="15" hidden="false" customHeight="true" outlineLevel="0" collapsed="false">
      <c r="A4" s="4" t="s">
        <v>21</v>
      </c>
      <c r="C4" s="6" t="s">
        <v>22</v>
      </c>
      <c r="D4" s="6"/>
      <c r="E4" s="7" t="s">
        <v>23</v>
      </c>
      <c r="T4" s="7" t="s">
        <v>22</v>
      </c>
      <c r="U4" s="7" t="s">
        <v>24</v>
      </c>
      <c r="V4" s="7" t="s">
        <v>25</v>
      </c>
      <c r="W4" s="7" t="s">
        <v>26</v>
      </c>
    </row>
    <row r="5" customFormat="false" ht="15" hidden="false" customHeight="true" outlineLevel="0" collapsed="false">
      <c r="A5" s="8" t="s">
        <v>27</v>
      </c>
      <c r="C5" s="9" t="n">
        <f aca="false">MATCH(C4,T4:W4,0)</f>
        <v>1</v>
      </c>
    </row>
    <row r="7" customFormat="false" ht="15" hidden="false" customHeight="true" outlineLevel="0" collapsed="false">
      <c r="C7" s="10" t="s">
        <v>22</v>
      </c>
      <c r="D7" s="10"/>
      <c r="E7" s="10"/>
      <c r="F7" s="10" t="s">
        <v>24</v>
      </c>
      <c r="G7" s="10"/>
      <c r="H7" s="10"/>
      <c r="I7" s="10" t="s">
        <v>25</v>
      </c>
      <c r="J7" s="10"/>
      <c r="K7" s="10"/>
      <c r="L7" s="10" t="s">
        <v>26</v>
      </c>
      <c r="M7" s="10"/>
      <c r="N7" s="10"/>
      <c r="O7" s="10" t="s">
        <v>28</v>
      </c>
      <c r="P7" s="10"/>
      <c r="Q7" s="10"/>
    </row>
    <row r="8" customFormat="false" ht="15" hidden="false" customHeight="true" outlineLevel="0" collapsed="false">
      <c r="A8" s="11" t="s">
        <v>29</v>
      </c>
      <c r="B8" s="12" t="s">
        <v>30</v>
      </c>
      <c r="C8" s="12" t="s">
        <v>31</v>
      </c>
      <c r="D8" s="12" t="s">
        <v>32</v>
      </c>
      <c r="E8" s="12" t="s">
        <v>33</v>
      </c>
      <c r="F8" s="12" t="s">
        <v>31</v>
      </c>
      <c r="G8" s="12" t="s">
        <v>32</v>
      </c>
      <c r="H8" s="12" t="s">
        <v>33</v>
      </c>
      <c r="I8" s="12" t="s">
        <v>31</v>
      </c>
      <c r="J8" s="12" t="s">
        <v>32</v>
      </c>
      <c r="K8" s="12" t="s">
        <v>33</v>
      </c>
      <c r="L8" s="12" t="s">
        <v>31</v>
      </c>
      <c r="M8" s="12" t="s">
        <v>32</v>
      </c>
      <c r="N8" s="12" t="s">
        <v>33</v>
      </c>
      <c r="O8" s="12" t="s">
        <v>31</v>
      </c>
      <c r="P8" s="12" t="s">
        <v>32</v>
      </c>
      <c r="Q8" s="12" t="s">
        <v>33</v>
      </c>
      <c r="R8" s="12" t="s">
        <v>34</v>
      </c>
    </row>
    <row r="9" customFormat="false" ht="15" hidden="false" customHeight="true" outlineLevel="0" collapsed="false">
      <c r="A9" s="8" t="s">
        <v>35</v>
      </c>
      <c r="B9" s="13" t="n">
        <v>0.171</v>
      </c>
      <c r="C9" s="14" t="n">
        <v>0.195</v>
      </c>
      <c r="D9" s="14" t="n">
        <v>0.215</v>
      </c>
      <c r="E9" s="14" t="n">
        <v>0.225</v>
      </c>
      <c r="F9" s="13" t="n">
        <v>0.165</v>
      </c>
      <c r="G9" s="13" t="n">
        <v>0.175</v>
      </c>
      <c r="H9" s="13" t="n">
        <v>0.185</v>
      </c>
      <c r="I9" s="13" t="n">
        <v>0.21</v>
      </c>
      <c r="J9" s="13" t="n">
        <v>0.23</v>
      </c>
      <c r="K9" s="13" t="n">
        <v>0.245</v>
      </c>
      <c r="L9" s="13" t="n">
        <v>0.19</v>
      </c>
      <c r="M9" s="13" t="n">
        <v>0.205</v>
      </c>
      <c r="N9" s="13" t="n">
        <v>0.215</v>
      </c>
      <c r="O9" s="15" t="n">
        <f aca="false">CHOOSE($C$5,C9,F9,I9,L9)</f>
        <v>0.195</v>
      </c>
      <c r="P9" s="15" t="n">
        <f aca="false">CHOOSE($C$5,D9,G9,J9,M9)</f>
        <v>0.215</v>
      </c>
      <c r="Q9" s="15" t="n">
        <f aca="false">CHOOSE($C$5,E9,H9,K9,N9)</f>
        <v>0.225</v>
      </c>
      <c r="R9" s="7" t="s">
        <v>36</v>
      </c>
    </row>
    <row r="10" customFormat="false" ht="15" hidden="false" customHeight="true" outlineLevel="0" collapsed="false">
      <c r="A10" s="8" t="s">
        <v>37</v>
      </c>
      <c r="B10" s="16" t="n">
        <v>8.1</v>
      </c>
      <c r="C10" s="17" t="n">
        <v>8</v>
      </c>
      <c r="D10" s="17" t="n">
        <v>7.6</v>
      </c>
      <c r="E10" s="17" t="n">
        <v>7.3</v>
      </c>
      <c r="F10" s="16" t="n">
        <v>8.4</v>
      </c>
      <c r="G10" s="16" t="n">
        <v>8.4</v>
      </c>
      <c r="H10" s="16" t="n">
        <v>8.2</v>
      </c>
      <c r="I10" s="16" t="n">
        <v>7.8</v>
      </c>
      <c r="J10" s="16" t="n">
        <v>7.2</v>
      </c>
      <c r="K10" s="16" t="n">
        <v>6.8</v>
      </c>
      <c r="L10" s="16" t="n">
        <v>8.1</v>
      </c>
      <c r="M10" s="16" t="n">
        <v>7.8</v>
      </c>
      <c r="N10" s="16" t="n">
        <v>7.5</v>
      </c>
      <c r="O10" s="18" t="n">
        <f aca="false">CHOOSE($C$5,C10,F10,I10,L10)</f>
        <v>8</v>
      </c>
      <c r="P10" s="18" t="n">
        <f aca="false">CHOOSE($C$5,D10,G10,J10,M10)</f>
        <v>7.6</v>
      </c>
      <c r="Q10" s="18" t="n">
        <f aca="false">CHOOSE($C$5,E10,H10,K10,N10)</f>
        <v>7.3</v>
      </c>
      <c r="R10" s="7" t="s">
        <v>38</v>
      </c>
    </row>
    <row r="11" customFormat="false" ht="15" hidden="false" customHeight="true" outlineLevel="0" collapsed="false">
      <c r="A11" s="8" t="s">
        <v>39</v>
      </c>
      <c r="B11" s="16" t="n">
        <v>71.4</v>
      </c>
      <c r="C11" s="16" t="n">
        <v>72</v>
      </c>
      <c r="D11" s="16" t="n">
        <v>74.5</v>
      </c>
      <c r="E11" s="16" t="n">
        <v>77</v>
      </c>
      <c r="F11" s="16" t="n">
        <v>70</v>
      </c>
      <c r="G11" s="16" t="n">
        <v>71</v>
      </c>
      <c r="H11" s="16" t="n">
        <v>72</v>
      </c>
      <c r="I11" s="16" t="n">
        <v>74</v>
      </c>
      <c r="J11" s="16" t="n">
        <v>78</v>
      </c>
      <c r="K11" s="16" t="n">
        <v>81</v>
      </c>
      <c r="L11" s="16" t="n">
        <v>72</v>
      </c>
      <c r="M11" s="16" t="n">
        <v>74</v>
      </c>
      <c r="N11" s="16" t="n">
        <v>76</v>
      </c>
      <c r="O11" s="18" t="n">
        <f aca="false">CHOOSE($C$5,C11,F11,I11,L11)</f>
        <v>72</v>
      </c>
      <c r="P11" s="18" t="n">
        <f aca="false">CHOOSE($C$5,D11,G11,J11,M11)</f>
        <v>74.5</v>
      </c>
      <c r="Q11" s="18" t="n">
        <f aca="false">CHOOSE($C$5,E11,H11,K11,N11)</f>
        <v>77</v>
      </c>
      <c r="R11" s="7" t="s">
        <v>40</v>
      </c>
    </row>
    <row r="12" customFormat="false" ht="15" hidden="false" customHeight="true" outlineLevel="0" collapsed="false">
      <c r="A12" s="8" t="s">
        <v>41</v>
      </c>
      <c r="B12" s="13" t="n">
        <v>0.193</v>
      </c>
      <c r="C12" s="13" t="n">
        <v>0.16</v>
      </c>
      <c r="D12" s="13" t="n">
        <v>0.15</v>
      </c>
      <c r="E12" s="13" t="n">
        <v>0.15</v>
      </c>
      <c r="F12" s="13" t="n">
        <v>0.18</v>
      </c>
      <c r="G12" s="13" t="n">
        <v>0.17</v>
      </c>
      <c r="H12" s="13" t="n">
        <v>0.17</v>
      </c>
      <c r="I12" s="13" t="n">
        <v>0.15</v>
      </c>
      <c r="J12" s="13" t="n">
        <v>0.14</v>
      </c>
      <c r="K12" s="13" t="n">
        <v>0.14</v>
      </c>
      <c r="L12" s="13" t="n">
        <v>0.16</v>
      </c>
      <c r="M12" s="13" t="n">
        <v>0.15</v>
      </c>
      <c r="N12" s="13" t="n">
        <v>0.15</v>
      </c>
      <c r="O12" s="15" t="n">
        <f aca="false">CHOOSE($C$5,C12,F12,I12,L12)</f>
        <v>0.16</v>
      </c>
      <c r="P12" s="15" t="n">
        <f aca="false">CHOOSE($C$5,D12,G12,J12,M12)</f>
        <v>0.15</v>
      </c>
      <c r="Q12" s="15" t="n">
        <f aca="false">CHOOSE($C$5,E12,H12,K12,N12)</f>
        <v>0.15</v>
      </c>
      <c r="R12" s="7" t="s">
        <v>42</v>
      </c>
    </row>
    <row r="13" customFormat="false" ht="15" hidden="false" customHeight="true" outlineLevel="0" collapsed="false">
      <c r="A13" s="8" t="s">
        <v>43</v>
      </c>
      <c r="B13" s="19" t="n">
        <v>392</v>
      </c>
      <c r="C13" s="19" t="n">
        <v>380</v>
      </c>
      <c r="D13" s="19" t="n">
        <v>430</v>
      </c>
      <c r="E13" s="19" t="n">
        <v>470</v>
      </c>
      <c r="F13" s="19" t="n">
        <v>340</v>
      </c>
      <c r="G13" s="19" t="n">
        <v>370</v>
      </c>
      <c r="H13" s="19" t="n">
        <v>400</v>
      </c>
      <c r="I13" s="19" t="n">
        <v>400</v>
      </c>
      <c r="J13" s="19" t="n">
        <v>470</v>
      </c>
      <c r="K13" s="19" t="n">
        <v>540</v>
      </c>
      <c r="L13" s="19" t="n">
        <v>370</v>
      </c>
      <c r="M13" s="19" t="n">
        <v>400</v>
      </c>
      <c r="N13" s="19" t="n">
        <v>430</v>
      </c>
      <c r="O13" s="9" t="n">
        <f aca="false">CHOOSE($C$5,C13,F13,I13,L13)</f>
        <v>380</v>
      </c>
      <c r="P13" s="9" t="n">
        <f aca="false">CHOOSE($C$5,D13,G13,J13,M13)</f>
        <v>430</v>
      </c>
      <c r="Q13" s="9" t="n">
        <f aca="false">CHOOSE($C$5,E13,H13,K13,N13)</f>
        <v>470</v>
      </c>
      <c r="R13" s="7" t="s">
        <v>44</v>
      </c>
    </row>
    <row r="14" customFormat="false" ht="15" hidden="false" customHeight="true" outlineLevel="0" collapsed="false">
      <c r="A14" s="8" t="s">
        <v>45</v>
      </c>
      <c r="B14" s="13" t="n">
        <v>0.29</v>
      </c>
      <c r="C14" s="13" t="n">
        <v>0.24</v>
      </c>
      <c r="D14" s="13" t="n">
        <v>0.22</v>
      </c>
      <c r="E14" s="13" t="n">
        <v>0.2</v>
      </c>
      <c r="F14" s="13" t="n">
        <v>0.29</v>
      </c>
      <c r="G14" s="13" t="n">
        <v>0.27</v>
      </c>
      <c r="H14" s="13" t="n">
        <v>0.25</v>
      </c>
      <c r="I14" s="13" t="n">
        <v>0.22</v>
      </c>
      <c r="J14" s="13" t="n">
        <v>0.2</v>
      </c>
      <c r="K14" s="13" t="n">
        <v>0.18</v>
      </c>
      <c r="L14" s="13" t="n">
        <v>0.26</v>
      </c>
      <c r="M14" s="13" t="n">
        <v>0.24</v>
      </c>
      <c r="N14" s="13" t="n">
        <v>0.22</v>
      </c>
      <c r="O14" s="15" t="n">
        <f aca="false">CHOOSE($C$5,C14,F14,I14,L14)</f>
        <v>0.24</v>
      </c>
      <c r="P14" s="15" t="n">
        <f aca="false">CHOOSE($C$5,D14,G14,J14,M14)</f>
        <v>0.22</v>
      </c>
      <c r="Q14" s="15" t="n">
        <f aca="false">CHOOSE($C$5,E14,H14,K14,N14)</f>
        <v>0.2</v>
      </c>
      <c r="R14" s="7" t="s">
        <v>46</v>
      </c>
    </row>
    <row r="15" customFormat="false" ht="15" hidden="false" customHeight="true" outlineLevel="0" collapsed="false">
      <c r="A15" s="8" t="s">
        <v>47</v>
      </c>
      <c r="B15" s="13" t="n">
        <v>0.081</v>
      </c>
      <c r="C15" s="14" t="n">
        <v>0.085</v>
      </c>
      <c r="D15" s="14" t="n">
        <v>0.095</v>
      </c>
      <c r="E15" s="14" t="n">
        <v>0.105</v>
      </c>
      <c r="F15" s="13" t="n">
        <v>0.07</v>
      </c>
      <c r="G15" s="13" t="n">
        <v>0.075</v>
      </c>
      <c r="H15" s="13" t="n">
        <v>0.08</v>
      </c>
      <c r="I15" s="13" t="n">
        <v>0.095</v>
      </c>
      <c r="J15" s="13" t="n">
        <v>0.11</v>
      </c>
      <c r="K15" s="13" t="n">
        <v>0.12</v>
      </c>
      <c r="L15" s="13" t="n">
        <v>0.08</v>
      </c>
      <c r="M15" s="13" t="n">
        <v>0.09</v>
      </c>
      <c r="N15" s="13" t="n">
        <v>0.095</v>
      </c>
      <c r="O15" s="15" t="n">
        <f aca="false">CHOOSE($C$5,C15,F15,I15,L15)</f>
        <v>0.085</v>
      </c>
      <c r="P15" s="15" t="n">
        <f aca="false">CHOOSE($C$5,D15,G15,J15,M15)</f>
        <v>0.095</v>
      </c>
      <c r="Q15" s="15" t="n">
        <f aca="false">CHOOSE($C$5,E15,H15,K15,N15)</f>
        <v>0.105</v>
      </c>
      <c r="R15" s="7" t="s">
        <v>48</v>
      </c>
    </row>
    <row r="16" customFormat="false" ht="15" hidden="false" customHeight="true" outlineLevel="0" collapsed="false">
      <c r="A16" s="8" t="s">
        <v>49</v>
      </c>
      <c r="B16" s="13" t="n">
        <v>0.033</v>
      </c>
      <c r="C16" s="13" t="n">
        <v>0.03</v>
      </c>
      <c r="D16" s="13" t="n">
        <v>0.025</v>
      </c>
      <c r="E16" s="13" t="n">
        <v>0.025</v>
      </c>
      <c r="F16" s="13" t="n">
        <v>0.035</v>
      </c>
      <c r="G16" s="13" t="n">
        <v>0.035</v>
      </c>
      <c r="H16" s="13" t="n">
        <v>0.03</v>
      </c>
      <c r="I16" s="13" t="n">
        <v>0.025</v>
      </c>
      <c r="J16" s="13" t="n">
        <v>0.022</v>
      </c>
      <c r="K16" s="13" t="n">
        <v>0.02</v>
      </c>
      <c r="L16" s="13" t="n">
        <v>0.03</v>
      </c>
      <c r="M16" s="13" t="n">
        <v>0.028</v>
      </c>
      <c r="N16" s="13" t="n">
        <v>0.026</v>
      </c>
      <c r="O16" s="15" t="n">
        <f aca="false">CHOOSE($C$5,C16,F16,I16,L16)</f>
        <v>0.03</v>
      </c>
      <c r="P16" s="15" t="n">
        <f aca="false">CHOOSE($C$5,D16,G16,J16,M16)</f>
        <v>0.025</v>
      </c>
      <c r="Q16" s="15" t="n">
        <f aca="false">CHOOSE($C$5,E16,H16,K16,N16)</f>
        <v>0.025</v>
      </c>
      <c r="R16" s="7" t="s">
        <v>50</v>
      </c>
    </row>
    <row r="17" customFormat="false" ht="15" hidden="false" customHeight="true" outlineLevel="0" collapsed="false">
      <c r="A17" s="8" t="s">
        <v>51</v>
      </c>
      <c r="B17" s="13" t="n">
        <v>0.059</v>
      </c>
      <c r="C17" s="14" t="n">
        <v>0.05</v>
      </c>
      <c r="D17" s="14" t="n">
        <v>0.045</v>
      </c>
      <c r="E17" s="14" t="n">
        <v>0.04</v>
      </c>
      <c r="F17" s="13" t="n">
        <v>0.065</v>
      </c>
      <c r="G17" s="13" t="n">
        <v>0.06</v>
      </c>
      <c r="H17" s="13" t="n">
        <v>0.055</v>
      </c>
      <c r="I17" s="13" t="n">
        <v>0.045</v>
      </c>
      <c r="J17" s="13" t="n">
        <v>0.04</v>
      </c>
      <c r="K17" s="13" t="n">
        <v>0.035</v>
      </c>
      <c r="L17" s="13" t="n">
        <v>0.055</v>
      </c>
      <c r="M17" s="13" t="n">
        <v>0.05</v>
      </c>
      <c r="N17" s="13" t="n">
        <v>0.045</v>
      </c>
      <c r="O17" s="15" t="n">
        <f aca="false">CHOOSE($C$5,C17,F17,I17,L17)</f>
        <v>0.05</v>
      </c>
      <c r="P17" s="15" t="n">
        <f aca="false">CHOOSE($C$5,D17,G17,J17,M17)</f>
        <v>0.045</v>
      </c>
      <c r="Q17" s="15" t="n">
        <f aca="false">CHOOSE($C$5,E17,H17,K17,N17)</f>
        <v>0.04</v>
      </c>
      <c r="R17" s="7" t="s">
        <v>52</v>
      </c>
    </row>
    <row r="18" customFormat="false" ht="15" hidden="false" customHeight="true" outlineLevel="0" collapsed="false">
      <c r="A18" s="8" t="s">
        <v>53</v>
      </c>
      <c r="B18" s="19" t="n">
        <v>0</v>
      </c>
      <c r="C18" s="19" t="n">
        <v>8</v>
      </c>
      <c r="D18" s="19" t="n">
        <v>9</v>
      </c>
      <c r="E18" s="19" t="n">
        <v>5</v>
      </c>
      <c r="F18" s="19" t="n">
        <v>8</v>
      </c>
      <c r="G18" s="19" t="n">
        <v>9</v>
      </c>
      <c r="H18" s="19" t="n">
        <v>5</v>
      </c>
      <c r="I18" s="19" t="n">
        <v>8</v>
      </c>
      <c r="J18" s="19" t="n">
        <v>11</v>
      </c>
      <c r="K18" s="19" t="n">
        <v>6</v>
      </c>
      <c r="L18" s="19" t="n">
        <v>8</v>
      </c>
      <c r="M18" s="19" t="n">
        <v>6</v>
      </c>
      <c r="N18" s="19" t="n">
        <v>4</v>
      </c>
      <c r="O18" s="9" t="n">
        <f aca="false">CHOOSE($C$5,C18,F18,I18,L18)</f>
        <v>8</v>
      </c>
      <c r="P18" s="9" t="n">
        <f aca="false">CHOOSE($C$5,D18,G18,J18,M18)</f>
        <v>9</v>
      </c>
      <c r="Q18" s="9" t="n">
        <f aca="false">CHOOSE($C$5,E18,H18,K18,N18)</f>
        <v>5</v>
      </c>
      <c r="R18" s="7" t="s">
        <v>54</v>
      </c>
    </row>
    <row r="19" customFormat="false" ht="15" hidden="false" customHeight="true" outlineLevel="0" collapsed="false">
      <c r="A19" s="8" t="s">
        <v>55</v>
      </c>
      <c r="B19" s="20" t="n">
        <v>0.49</v>
      </c>
      <c r="C19" s="21" t="n">
        <v>1.2</v>
      </c>
      <c r="D19" s="21" t="n">
        <v>1.2</v>
      </c>
      <c r="E19" s="21" t="n">
        <v>1.2</v>
      </c>
      <c r="F19" s="20" t="n">
        <v>0.6</v>
      </c>
      <c r="G19" s="20" t="n">
        <v>0.6</v>
      </c>
      <c r="H19" s="20" t="n">
        <v>0.6</v>
      </c>
      <c r="I19" s="20" t="n">
        <v>1.4</v>
      </c>
      <c r="J19" s="20" t="n">
        <v>1.4</v>
      </c>
      <c r="K19" s="20" t="n">
        <v>1.4</v>
      </c>
      <c r="L19" s="20" t="n">
        <v>1.2</v>
      </c>
      <c r="M19" s="20" t="n">
        <v>1.2</v>
      </c>
      <c r="N19" s="20" t="n">
        <v>1.2</v>
      </c>
      <c r="O19" s="22" t="n">
        <f aca="false">CHOOSE($C$5,C19,F19,I19,L19)</f>
        <v>1.2</v>
      </c>
      <c r="P19" s="22" t="n">
        <f aca="false">CHOOSE($C$5,D19,G19,J19,M19)</f>
        <v>1.2</v>
      </c>
      <c r="Q19" s="22" t="n">
        <f aca="false">CHOOSE($C$5,E19,H19,K19,N19)</f>
        <v>1.2</v>
      </c>
      <c r="R19" s="7" t="s">
        <v>56</v>
      </c>
    </row>
    <row r="20" customFormat="false" ht="15" hidden="false" customHeight="true" outlineLevel="0" collapsed="false">
      <c r="A20" s="8" t="s">
        <v>57</v>
      </c>
      <c r="B20" s="13" t="n">
        <v>0</v>
      </c>
      <c r="C20" s="13" t="n">
        <v>0.2</v>
      </c>
      <c r="D20" s="13" t="n">
        <v>0</v>
      </c>
      <c r="E20" s="13" t="n">
        <v>0</v>
      </c>
      <c r="F20" s="13" t="n">
        <v>0.4</v>
      </c>
      <c r="G20" s="13" t="n">
        <v>0</v>
      </c>
      <c r="H20" s="13" t="n">
        <v>0</v>
      </c>
      <c r="I20" s="13" t="n">
        <v>0.15</v>
      </c>
      <c r="J20" s="13" t="n">
        <v>0</v>
      </c>
      <c r="K20" s="13" t="n">
        <v>0</v>
      </c>
      <c r="L20" s="13" t="n">
        <v>0.3</v>
      </c>
      <c r="M20" s="13" t="n">
        <v>0</v>
      </c>
      <c r="N20" s="13" t="n">
        <v>0</v>
      </c>
      <c r="O20" s="15" t="n">
        <f aca="false">CHOOSE($C$5,C20,F20,I20,L20)</f>
        <v>0.2</v>
      </c>
      <c r="P20" s="15" t="n">
        <f aca="false">CHOOSE($C$5,D20,G20,J20,M20)</f>
        <v>0</v>
      </c>
      <c r="Q20" s="15" t="n">
        <f aca="false">CHOOSE($C$5,E20,H20,K20,N20)</f>
        <v>0</v>
      </c>
      <c r="R20" s="7" t="s">
        <v>58</v>
      </c>
    </row>
    <row r="21" customFormat="false" ht="15" hidden="false" customHeight="true" outlineLevel="0" collapsed="false">
      <c r="A21" s="8" t="s">
        <v>59</v>
      </c>
      <c r="B21" s="23" t="n">
        <v>1.48</v>
      </c>
      <c r="C21" s="23" t="n">
        <v>1.4</v>
      </c>
      <c r="D21" s="23" t="n">
        <v>1.2</v>
      </c>
      <c r="E21" s="23" t="n">
        <v>1.05</v>
      </c>
      <c r="F21" s="23" t="n">
        <v>1.45</v>
      </c>
      <c r="G21" s="23" t="n">
        <v>1.35</v>
      </c>
      <c r="H21" s="23" t="n">
        <v>1.25</v>
      </c>
      <c r="I21" s="23" t="n">
        <v>1.35</v>
      </c>
      <c r="J21" s="23" t="n">
        <v>1.1</v>
      </c>
      <c r="K21" s="23" t="n">
        <v>0.95</v>
      </c>
      <c r="L21" s="23" t="n">
        <v>1.4</v>
      </c>
      <c r="M21" s="23" t="n">
        <v>1.25</v>
      </c>
      <c r="N21" s="23" t="n">
        <v>1.1</v>
      </c>
      <c r="O21" s="24" t="n">
        <f aca="false">CHOOSE($C$5,C21,F21,I21,L21)</f>
        <v>1.4</v>
      </c>
      <c r="P21" s="24" t="n">
        <f aca="false">CHOOSE($C$5,D21,G21,J21,M21)</f>
        <v>1.2</v>
      </c>
      <c r="Q21" s="24" t="n">
        <f aca="false">CHOOSE($C$5,E21,H21,K21,N21)</f>
        <v>1.05</v>
      </c>
      <c r="R21" s="7" t="s">
        <v>60</v>
      </c>
    </row>
    <row r="22" customFormat="false" ht="15" hidden="false" customHeight="true" outlineLevel="0" collapsed="false">
      <c r="A22" s="8" t="s">
        <v>61</v>
      </c>
      <c r="B22" s="13" t="n">
        <v>0</v>
      </c>
      <c r="C22" s="13" t="n">
        <v>0.08</v>
      </c>
      <c r="D22" s="13" t="n">
        <v>0</v>
      </c>
      <c r="E22" s="13" t="n">
        <v>0</v>
      </c>
      <c r="F22" s="13" t="n">
        <v>0.12</v>
      </c>
      <c r="G22" s="13" t="n">
        <v>0</v>
      </c>
      <c r="H22" s="13" t="n">
        <v>0</v>
      </c>
      <c r="I22" s="13" t="n">
        <v>0.06</v>
      </c>
      <c r="J22" s="13" t="n">
        <v>0</v>
      </c>
      <c r="K22" s="13" t="n">
        <v>0</v>
      </c>
      <c r="L22" s="13" t="n">
        <v>0.1</v>
      </c>
      <c r="M22" s="13" t="n">
        <v>0</v>
      </c>
      <c r="N22" s="13" t="n">
        <v>0</v>
      </c>
      <c r="O22" s="15" t="n">
        <f aca="false">CHOOSE($C$5,C22,F22,I22,L22)</f>
        <v>0.08</v>
      </c>
      <c r="P22" s="15" t="n">
        <f aca="false">CHOOSE($C$5,D22,G22,J22,M22)</f>
        <v>0</v>
      </c>
      <c r="Q22" s="15" t="n">
        <f aca="false">CHOOSE($C$5,E22,H22,K22,N22)</f>
        <v>0</v>
      </c>
      <c r="R22" s="7" t="s">
        <v>62</v>
      </c>
    </row>
    <row r="24" customFormat="false" ht="15" hidden="false" customHeight="true" outlineLevel="0" collapsed="false">
      <c r="A24" s="4" t="s">
        <v>63</v>
      </c>
    </row>
    <row r="25" customFormat="false" ht="15" hidden="false" customHeight="true" outlineLevel="0" collapsed="false">
      <c r="A25" s="11" t="s">
        <v>64</v>
      </c>
      <c r="B25" s="12"/>
      <c r="C25" s="12" t="s">
        <v>13</v>
      </c>
      <c r="D25" s="12" t="s">
        <v>65</v>
      </c>
      <c r="E25" s="12" t="s">
        <v>66</v>
      </c>
      <c r="F25" s="12" t="s">
        <v>67</v>
      </c>
      <c r="G25" s="12" t="s">
        <v>68</v>
      </c>
      <c r="H25" s="12" t="s">
        <v>69</v>
      </c>
      <c r="I25" s="12" t="s">
        <v>70</v>
      </c>
      <c r="J25" s="12" t="s">
        <v>71</v>
      </c>
      <c r="K25" s="12" t="s">
        <v>72</v>
      </c>
      <c r="L25" s="12" t="s">
        <v>73</v>
      </c>
      <c r="M25" s="12" t="s">
        <v>74</v>
      </c>
      <c r="N25" s="12" t="s">
        <v>75</v>
      </c>
      <c r="O25" s="12"/>
      <c r="P25" s="12"/>
      <c r="Q25" s="12"/>
      <c r="R25" s="12" t="s">
        <v>76</v>
      </c>
    </row>
    <row r="26" customFormat="false" ht="15" hidden="false" customHeight="true" outlineLevel="0" collapsed="false">
      <c r="A26" s="8" t="s">
        <v>22</v>
      </c>
      <c r="C26" s="19" t="n">
        <v>0</v>
      </c>
      <c r="D26" s="19" t="n">
        <v>0</v>
      </c>
      <c r="E26" s="19" t="n">
        <v>6</v>
      </c>
      <c r="F26" s="19" t="n">
        <v>0</v>
      </c>
      <c r="G26" s="19" t="n">
        <v>4</v>
      </c>
      <c r="H26" s="19" t="n">
        <v>0</v>
      </c>
      <c r="I26" s="19" t="n">
        <v>4</v>
      </c>
      <c r="J26" s="19" t="n">
        <v>0</v>
      </c>
      <c r="K26" s="19" t="n">
        <v>4</v>
      </c>
      <c r="L26" s="19" t="n">
        <v>0</v>
      </c>
      <c r="M26" s="19" t="n">
        <v>2</v>
      </c>
      <c r="N26" s="19" t="n">
        <v>0</v>
      </c>
      <c r="R26" s="7" t="s">
        <v>77</v>
      </c>
    </row>
    <row r="27" customFormat="false" ht="15" hidden="false" customHeight="true" outlineLevel="0" collapsed="false">
      <c r="A27" s="8" t="s">
        <v>24</v>
      </c>
      <c r="C27" s="19" t="n">
        <v>0</v>
      </c>
      <c r="D27" s="19" t="n">
        <v>0</v>
      </c>
      <c r="E27" s="19" t="n">
        <v>6</v>
      </c>
      <c r="F27" s="19" t="n">
        <v>0</v>
      </c>
      <c r="G27" s="19" t="n">
        <v>4</v>
      </c>
      <c r="H27" s="19" t="n">
        <v>0</v>
      </c>
      <c r="I27" s="19" t="n">
        <v>4</v>
      </c>
      <c r="J27" s="19" t="n">
        <v>0</v>
      </c>
      <c r="K27" s="19" t="n">
        <v>4</v>
      </c>
      <c r="L27" s="19" t="n">
        <v>0</v>
      </c>
      <c r="M27" s="19" t="n">
        <v>2</v>
      </c>
      <c r="N27" s="19" t="n">
        <v>0</v>
      </c>
    </row>
    <row r="28" customFormat="false" ht="15" hidden="false" customHeight="true" outlineLevel="0" collapsed="false">
      <c r="A28" s="8" t="s">
        <v>25</v>
      </c>
      <c r="C28" s="19" t="n">
        <v>0</v>
      </c>
      <c r="D28" s="19" t="n">
        <v>0</v>
      </c>
      <c r="E28" s="19" t="n">
        <v>6</v>
      </c>
      <c r="F28" s="19" t="n">
        <v>6</v>
      </c>
      <c r="G28" s="19" t="n">
        <v>5</v>
      </c>
      <c r="H28" s="19" t="n">
        <v>0</v>
      </c>
      <c r="I28" s="19" t="n">
        <v>5</v>
      </c>
      <c r="J28" s="19" t="n">
        <v>0</v>
      </c>
      <c r="K28" s="19" t="n">
        <v>4</v>
      </c>
      <c r="L28" s="19" t="n">
        <v>0</v>
      </c>
      <c r="M28" s="19" t="n">
        <v>4</v>
      </c>
      <c r="N28" s="19" t="n">
        <v>0</v>
      </c>
    </row>
    <row r="29" customFormat="false" ht="15" hidden="false" customHeight="true" outlineLevel="0" collapsed="false">
      <c r="A29" s="8" t="s">
        <v>26</v>
      </c>
      <c r="C29" s="19" t="n">
        <v>0</v>
      </c>
      <c r="D29" s="19" t="n">
        <v>0</v>
      </c>
      <c r="E29" s="19" t="n">
        <v>6</v>
      </c>
      <c r="F29" s="19" t="n">
        <v>0</v>
      </c>
      <c r="G29" s="19" t="n">
        <v>3</v>
      </c>
      <c r="H29" s="19" t="n">
        <v>0</v>
      </c>
      <c r="I29" s="19" t="n">
        <v>0</v>
      </c>
      <c r="J29" s="19" t="n">
        <v>0</v>
      </c>
      <c r="K29" s="19" t="n">
        <v>3</v>
      </c>
      <c r="L29" s="19" t="n">
        <v>0</v>
      </c>
      <c r="M29" s="19" t="n">
        <v>0</v>
      </c>
      <c r="N29" s="19" t="n">
        <v>0</v>
      </c>
    </row>
    <row r="30" customFormat="false" ht="15" hidden="false" customHeight="true" outlineLevel="0" collapsed="false">
      <c r="A30" s="4" t="s">
        <v>78</v>
      </c>
      <c r="C30" s="9" t="n">
        <f aca="false">INDEX(C26:C29,$C$5)</f>
        <v>0</v>
      </c>
      <c r="D30" s="9" t="n">
        <f aca="false">INDEX(D26:D29,$C$5)</f>
        <v>0</v>
      </c>
      <c r="E30" s="9" t="n">
        <f aca="false">INDEX(E26:E29,$C$5)</f>
        <v>6</v>
      </c>
      <c r="F30" s="9" t="n">
        <f aca="false">INDEX(F26:F29,$C$5)</f>
        <v>0</v>
      </c>
      <c r="G30" s="9" t="n">
        <f aca="false">INDEX(G26:G29,$C$5)</f>
        <v>4</v>
      </c>
      <c r="H30" s="9" t="n">
        <f aca="false">INDEX(H26:H29,$C$5)</f>
        <v>0</v>
      </c>
      <c r="I30" s="9" t="n">
        <f aca="false">INDEX(I26:I29,$C$5)</f>
        <v>4</v>
      </c>
      <c r="J30" s="9" t="n">
        <f aca="false">INDEX(J26:J29,$C$5)</f>
        <v>0</v>
      </c>
      <c r="K30" s="9" t="n">
        <f aca="false">INDEX(K26:K29,$C$5)</f>
        <v>4</v>
      </c>
      <c r="L30" s="9" t="n">
        <f aca="false">INDEX(L26:L29,$C$5)</f>
        <v>0</v>
      </c>
      <c r="M30" s="9" t="n">
        <f aca="false">INDEX(M26:M29,$C$5)</f>
        <v>2</v>
      </c>
      <c r="N30" s="9" t="n">
        <f aca="false">INDEX(N26:N29,$C$5)</f>
        <v>0</v>
      </c>
    </row>
    <row r="32" customFormat="false" ht="15" hidden="false" customHeight="true" outlineLevel="0" collapsed="false">
      <c r="A32" s="4" t="s">
        <v>79</v>
      </c>
    </row>
    <row r="33" customFormat="false" ht="15" hidden="false" customHeight="true" outlineLevel="0" collapsed="false">
      <c r="A33" s="11" t="s">
        <v>80</v>
      </c>
      <c r="B33" s="12" t="s">
        <v>81</v>
      </c>
      <c r="C33" s="12"/>
      <c r="D33" s="12"/>
      <c r="E33" s="12"/>
      <c r="F33" s="12"/>
      <c r="G33" s="12"/>
      <c r="H33" s="12"/>
      <c r="I33" s="12"/>
      <c r="J33" s="12"/>
      <c r="K33" s="12"/>
      <c r="L33" s="12"/>
      <c r="M33" s="12"/>
      <c r="N33" s="12"/>
      <c r="O33" s="12"/>
      <c r="P33" s="12"/>
      <c r="Q33" s="12"/>
      <c r="R33" s="12" t="s">
        <v>34</v>
      </c>
    </row>
    <row r="34" customFormat="false" ht="15" hidden="false" customHeight="true" outlineLevel="0" collapsed="false">
      <c r="A34" s="8" t="s">
        <v>82</v>
      </c>
      <c r="B34" s="17" t="n">
        <v>5.4</v>
      </c>
      <c r="R34" s="7" t="s">
        <v>83</v>
      </c>
    </row>
    <row r="35" customFormat="false" ht="15" hidden="false" customHeight="true" outlineLevel="0" collapsed="false">
      <c r="A35" s="8" t="s">
        <v>84</v>
      </c>
      <c r="B35" s="23" t="n">
        <v>0</v>
      </c>
      <c r="R35" s="7" t="s">
        <v>85</v>
      </c>
    </row>
    <row r="36" customFormat="false" ht="15" hidden="false" customHeight="true" outlineLevel="0" collapsed="false">
      <c r="A36" s="8" t="s">
        <v>86</v>
      </c>
      <c r="B36" s="23" t="n">
        <v>0.33</v>
      </c>
      <c r="R36" s="7"/>
    </row>
    <row r="37" customFormat="false" ht="15" hidden="false" customHeight="true" outlineLevel="0" collapsed="false">
      <c r="A37" s="8" t="s">
        <v>87</v>
      </c>
      <c r="B37" s="23" t="n">
        <v>0.66</v>
      </c>
      <c r="R37" s="7"/>
    </row>
    <row r="38" customFormat="false" ht="15" hidden="false" customHeight="true" outlineLevel="0" collapsed="false">
      <c r="A38" s="8" t="s">
        <v>88</v>
      </c>
      <c r="B38" s="23" t="n">
        <v>1</v>
      </c>
      <c r="R38" s="7"/>
    </row>
    <row r="39" customFormat="false" ht="15" hidden="false" customHeight="true" outlineLevel="0" collapsed="false">
      <c r="A39" s="8" t="s">
        <v>89</v>
      </c>
      <c r="B39" s="23" t="n">
        <v>0.8</v>
      </c>
      <c r="R39" s="7" t="s">
        <v>90</v>
      </c>
    </row>
    <row r="40" customFormat="false" ht="15" hidden="false" customHeight="true" outlineLevel="0" collapsed="false">
      <c r="A40" s="8" t="s">
        <v>91</v>
      </c>
      <c r="B40" s="23" t="n">
        <v>1.4</v>
      </c>
      <c r="R40" s="7"/>
    </row>
    <row r="41" customFormat="false" ht="15" hidden="false" customHeight="true" outlineLevel="0" collapsed="false">
      <c r="A41" s="8" t="s">
        <v>92</v>
      </c>
      <c r="B41" s="23" t="n">
        <v>1.3</v>
      </c>
      <c r="R41" s="7"/>
    </row>
    <row r="42" customFormat="false" ht="15" hidden="false" customHeight="true" outlineLevel="0" collapsed="false">
      <c r="A42" s="8" t="s">
        <v>93</v>
      </c>
      <c r="B42" s="23" t="n">
        <v>0.85</v>
      </c>
      <c r="R42" s="7"/>
    </row>
    <row r="43" customFormat="false" ht="15" hidden="false" customHeight="true" outlineLevel="0" collapsed="false">
      <c r="A43" s="8" t="s">
        <v>94</v>
      </c>
      <c r="B43" s="19" t="n">
        <v>9</v>
      </c>
      <c r="R43" s="7" t="s">
        <v>95</v>
      </c>
    </row>
    <row r="44" customFormat="false" ht="15" hidden="false" customHeight="true" outlineLevel="0" collapsed="false">
      <c r="A44" s="8" t="s">
        <v>96</v>
      </c>
      <c r="B44" s="19" t="n">
        <v>8</v>
      </c>
      <c r="R44" s="7"/>
    </row>
    <row r="45" customFormat="false" ht="15" hidden="false" customHeight="true" outlineLevel="0" collapsed="false">
      <c r="A45" s="8" t="s">
        <v>97</v>
      </c>
      <c r="B45" s="19" t="n">
        <v>9</v>
      </c>
      <c r="R45" s="7"/>
    </row>
    <row r="46" customFormat="false" ht="15" hidden="false" customHeight="true" outlineLevel="0" collapsed="false">
      <c r="A46" s="8" t="s">
        <v>98</v>
      </c>
      <c r="B46" s="19" t="n">
        <v>38</v>
      </c>
      <c r="R46" s="7"/>
    </row>
    <row r="47" customFormat="false" ht="15" hidden="false" customHeight="true" outlineLevel="0" collapsed="false">
      <c r="A47" s="8" t="s">
        <v>99</v>
      </c>
      <c r="B47" s="16" t="n">
        <v>3.8</v>
      </c>
      <c r="R47" s="7" t="s">
        <v>100</v>
      </c>
    </row>
    <row r="48" customFormat="false" ht="15" hidden="false" customHeight="true" outlineLevel="0" collapsed="false">
      <c r="A48" s="8" t="s">
        <v>101</v>
      </c>
      <c r="B48" s="21" t="n">
        <v>8.71</v>
      </c>
      <c r="R48" s="7" t="s">
        <v>102</v>
      </c>
    </row>
    <row r="49" customFormat="false" ht="15" hidden="false" customHeight="true" outlineLevel="0" collapsed="false">
      <c r="A49" s="8" t="s">
        <v>103</v>
      </c>
      <c r="B49" s="20" t="n">
        <v>0.56</v>
      </c>
      <c r="R49" s="7" t="s">
        <v>104</v>
      </c>
    </row>
    <row r="50" customFormat="false" ht="15" hidden="false" customHeight="true" outlineLevel="0" collapsed="false">
      <c r="A50" s="8" t="s">
        <v>105</v>
      </c>
      <c r="B50" s="13" t="n">
        <v>0.06</v>
      </c>
      <c r="R50" s="7" t="s">
        <v>106</v>
      </c>
    </row>
    <row r="51" customFormat="false" ht="15" hidden="false" customHeight="true" outlineLevel="0" collapsed="false">
      <c r="A51" s="8" t="s">
        <v>107</v>
      </c>
      <c r="B51" s="25" t="n">
        <v>0.035</v>
      </c>
      <c r="R51" s="7" t="s">
        <v>108</v>
      </c>
    </row>
    <row r="52" customFormat="false" ht="15" hidden="false" customHeight="true" outlineLevel="0" collapsed="false">
      <c r="A52" s="8" t="s">
        <v>109</v>
      </c>
      <c r="B52" s="20" t="n">
        <v>60.33</v>
      </c>
      <c r="R52" s="7" t="s">
        <v>110</v>
      </c>
    </row>
    <row r="53" customFormat="false" ht="15" hidden="false" customHeight="true" outlineLevel="0" collapsed="false">
      <c r="A53" s="8" t="s">
        <v>111</v>
      </c>
      <c r="B53" s="25" t="n">
        <v>1</v>
      </c>
      <c r="R53" s="7" t="s">
        <v>112</v>
      </c>
    </row>
    <row r="54" customFormat="false" ht="15" hidden="false" customHeight="true" outlineLevel="0" collapsed="false">
      <c r="A54" s="8" t="s">
        <v>113</v>
      </c>
      <c r="B54" s="13" t="n">
        <v>0.18</v>
      </c>
      <c r="R54" s="7" t="s">
        <v>114</v>
      </c>
    </row>
    <row r="55" customFormat="false" ht="15" hidden="false" customHeight="true" outlineLevel="0" collapsed="false">
      <c r="A55" s="8" t="s">
        <v>115</v>
      </c>
      <c r="B55" s="13" t="n">
        <v>0.75</v>
      </c>
      <c r="R55" s="7" t="s">
        <v>116</v>
      </c>
    </row>
    <row r="56" customFormat="false" ht="15" hidden="false" customHeight="true" outlineLevel="0" collapsed="false">
      <c r="A56" s="8" t="s">
        <v>117</v>
      </c>
      <c r="B56" s="20" t="n">
        <v>123.32</v>
      </c>
      <c r="R56" s="7" t="s">
        <v>118</v>
      </c>
    </row>
    <row r="57" customFormat="false" ht="15" hidden="false" customHeight="true" outlineLevel="0" collapsed="false">
      <c r="A57" s="8" t="s">
        <v>119</v>
      </c>
      <c r="B57" s="13" t="n">
        <v>0.06</v>
      </c>
      <c r="R57" s="7" t="s">
        <v>120</v>
      </c>
    </row>
    <row r="58" customFormat="false" ht="15" hidden="false" customHeight="true" outlineLevel="0" collapsed="false">
      <c r="A58" s="8" t="s">
        <v>121</v>
      </c>
      <c r="B58" s="20" t="n">
        <v>69.37</v>
      </c>
      <c r="R58" s="7" t="s">
        <v>118</v>
      </c>
    </row>
    <row r="59" customFormat="false" ht="15" hidden="false" customHeight="true" outlineLevel="0" collapsed="false">
      <c r="A59" s="8" t="s">
        <v>122</v>
      </c>
      <c r="B59" s="13" t="n">
        <v>0.04</v>
      </c>
      <c r="R59" s="7" t="s">
        <v>123</v>
      </c>
    </row>
    <row r="60" customFormat="false" ht="15" hidden="false" customHeight="true" outlineLevel="0" collapsed="false">
      <c r="A60" s="8" t="s">
        <v>124</v>
      </c>
      <c r="B60" s="20" t="n">
        <v>2.256</v>
      </c>
      <c r="R60" s="7" t="s">
        <v>125</v>
      </c>
    </row>
    <row r="61" customFormat="false" ht="15" hidden="false" customHeight="true" outlineLevel="0" collapsed="false">
      <c r="A61" s="8" t="s">
        <v>126</v>
      </c>
      <c r="B61" s="13" t="n">
        <v>0.1</v>
      </c>
      <c r="R61" s="7" t="s">
        <v>127</v>
      </c>
    </row>
    <row r="62" customFormat="false" ht="15" hidden="false" customHeight="true" outlineLevel="0" collapsed="false">
      <c r="A62" s="8" t="s">
        <v>128</v>
      </c>
      <c r="B62" s="14" t="n">
        <v>0.15</v>
      </c>
      <c r="R62" s="7" t="s">
        <v>129</v>
      </c>
    </row>
    <row r="63" customFormat="false" ht="15" hidden="false" customHeight="true" outlineLevel="0" collapsed="false">
      <c r="A63" s="8" t="s">
        <v>130</v>
      </c>
      <c r="B63" s="14" t="n">
        <v>0.6</v>
      </c>
      <c r="R63" s="7" t="s">
        <v>127</v>
      </c>
    </row>
    <row r="64" customFormat="false" ht="15" hidden="false" customHeight="true" outlineLevel="0" collapsed="false">
      <c r="A64" s="8" t="s">
        <v>131</v>
      </c>
      <c r="B64" s="13" t="n">
        <v>1</v>
      </c>
      <c r="R64" s="7" t="s">
        <v>127</v>
      </c>
    </row>
    <row r="65" customFormat="false" ht="15" hidden="false" customHeight="true" outlineLevel="0" collapsed="false">
      <c r="A65" s="8" t="s">
        <v>132</v>
      </c>
      <c r="B65" s="13" t="n">
        <v>0.34</v>
      </c>
      <c r="R65" s="7" t="s">
        <v>133</v>
      </c>
    </row>
    <row r="66" customFormat="false" ht="15" hidden="false" customHeight="true" outlineLevel="0" collapsed="false">
      <c r="A66" s="8" t="s">
        <v>134</v>
      </c>
      <c r="B66" s="20" t="n">
        <v>0.37</v>
      </c>
      <c r="R66" s="7" t="s">
        <v>135</v>
      </c>
    </row>
    <row r="67" customFormat="false" ht="15" hidden="false" customHeight="true" outlineLevel="0" collapsed="false">
      <c r="A67" s="8" t="s">
        <v>136</v>
      </c>
      <c r="B67" s="13" t="n">
        <v>0.2</v>
      </c>
      <c r="R67" s="7" t="s">
        <v>137</v>
      </c>
    </row>
    <row r="68" customFormat="false" ht="15" hidden="false" customHeight="true" outlineLevel="0" collapsed="false">
      <c r="A68" s="8" t="s">
        <v>138</v>
      </c>
      <c r="B68" s="13" t="n">
        <v>0.23</v>
      </c>
      <c r="R68" s="7"/>
    </row>
    <row r="69" customFormat="false" ht="15" hidden="false" customHeight="true" outlineLevel="0" collapsed="false">
      <c r="A69" s="8" t="s">
        <v>139</v>
      </c>
      <c r="B69" s="13" t="n">
        <v>0.27</v>
      </c>
      <c r="R69" s="7"/>
    </row>
    <row r="70" customFormat="false" ht="15" hidden="false" customHeight="true" outlineLevel="0" collapsed="false">
      <c r="A70" s="8" t="s">
        <v>140</v>
      </c>
      <c r="B70" s="13" t="n">
        <v>0.3</v>
      </c>
      <c r="R70" s="7"/>
    </row>
    <row r="71" customFormat="false" ht="15" hidden="false" customHeight="true" outlineLevel="0" collapsed="false">
      <c r="A71" s="8" t="s">
        <v>141</v>
      </c>
      <c r="B71" s="13" t="n">
        <v>0.164</v>
      </c>
      <c r="R71" s="7" t="s">
        <v>142</v>
      </c>
    </row>
    <row r="72" customFormat="false" ht="15" hidden="false" customHeight="true" outlineLevel="0" collapsed="false">
      <c r="A72" s="8" t="s">
        <v>143</v>
      </c>
      <c r="B72" s="13" t="n">
        <v>0.17</v>
      </c>
      <c r="R72" s="7" t="s">
        <v>127</v>
      </c>
    </row>
    <row r="73" customFormat="false" ht="15" hidden="false" customHeight="true" outlineLevel="0" collapsed="false">
      <c r="A73" s="8" t="s">
        <v>144</v>
      </c>
      <c r="B73" s="13" t="n">
        <v>0.176</v>
      </c>
      <c r="R73" s="7" t="s">
        <v>127</v>
      </c>
    </row>
    <row r="74" customFormat="false" ht="15" hidden="false" customHeight="true" outlineLevel="0" collapsed="false">
      <c r="A74" s="8" t="s">
        <v>145</v>
      </c>
      <c r="B74" s="13" t="n">
        <v>0.065</v>
      </c>
      <c r="R74" s="7" t="s">
        <v>127</v>
      </c>
    </row>
    <row r="75" customFormat="false" ht="15" hidden="false" customHeight="true" outlineLevel="0" collapsed="false">
      <c r="A75" s="8" t="s">
        <v>146</v>
      </c>
      <c r="B75" s="13" t="n">
        <v>0.07</v>
      </c>
      <c r="R75" s="7" t="s">
        <v>127</v>
      </c>
    </row>
    <row r="76" customFormat="false" ht="15" hidden="false" customHeight="true" outlineLevel="0" collapsed="false">
      <c r="A76" s="8" t="s">
        <v>147</v>
      </c>
      <c r="B76" s="20" t="n">
        <v>2.44</v>
      </c>
      <c r="R76" s="7" t="s">
        <v>148</v>
      </c>
    </row>
    <row r="77" customFormat="false" ht="15" hidden="false" customHeight="true" outlineLevel="0" collapsed="false">
      <c r="A77" s="8" t="s">
        <v>149</v>
      </c>
      <c r="B77" s="20" t="n">
        <v>3.46</v>
      </c>
      <c r="R77" s="7" t="s">
        <v>127</v>
      </c>
    </row>
    <row r="78" customFormat="false" ht="15" hidden="false" customHeight="true" outlineLevel="0" collapsed="false">
      <c r="A78" s="8" t="s">
        <v>150</v>
      </c>
      <c r="B78" s="20" t="n">
        <v>4</v>
      </c>
      <c r="R78" s="7" t="s">
        <v>127</v>
      </c>
    </row>
    <row r="79" customFormat="false" ht="15" hidden="false" customHeight="true" outlineLevel="0" collapsed="false">
      <c r="A79" s="8" t="s">
        <v>151</v>
      </c>
      <c r="B79" s="20" t="n">
        <v>1.5</v>
      </c>
      <c r="R79" s="7" t="s">
        <v>152</v>
      </c>
    </row>
    <row r="80" customFormat="false" ht="15" hidden="false" customHeight="true" outlineLevel="0" collapsed="false">
      <c r="A80" s="8" t="s">
        <v>153</v>
      </c>
      <c r="B80" s="20" t="n">
        <v>2</v>
      </c>
      <c r="R80" s="7" t="s">
        <v>127</v>
      </c>
    </row>
    <row r="81" customFormat="false" ht="15" hidden="false" customHeight="true" outlineLevel="0" collapsed="false">
      <c r="A81" s="8" t="s">
        <v>154</v>
      </c>
      <c r="B81" s="20" t="n">
        <v>2.5</v>
      </c>
      <c r="R81" s="7" t="s">
        <v>127</v>
      </c>
    </row>
    <row r="82" customFormat="false" ht="15" hidden="false" customHeight="true" outlineLevel="0" collapsed="false">
      <c r="A82" s="8" t="s">
        <v>155</v>
      </c>
      <c r="B82" s="13" t="n">
        <v>0.4</v>
      </c>
      <c r="R82" s="7" t="s">
        <v>127</v>
      </c>
    </row>
    <row r="83" customFormat="false" ht="15" hidden="false" customHeight="true" outlineLevel="0" collapsed="false">
      <c r="A83" s="8" t="s">
        <v>32</v>
      </c>
      <c r="B83" s="13" t="n">
        <v>0.35</v>
      </c>
      <c r="R83" s="7" t="s">
        <v>127</v>
      </c>
    </row>
    <row r="84" customFormat="false" ht="15" hidden="false" customHeight="true" outlineLevel="0" collapsed="false">
      <c r="A84" s="8" t="s">
        <v>33</v>
      </c>
      <c r="B84" s="13" t="n">
        <v>0.3</v>
      </c>
      <c r="R84" s="7" t="s">
        <v>127</v>
      </c>
    </row>
    <row r="85" customFormat="false" ht="15" hidden="false" customHeight="true" outlineLevel="0" collapsed="false">
      <c r="A85" s="8" t="s">
        <v>156</v>
      </c>
      <c r="B85" s="20" t="n">
        <v>1.64</v>
      </c>
      <c r="R85" s="7" t="s">
        <v>157</v>
      </c>
    </row>
    <row r="86" customFormat="false" ht="15" hidden="false" customHeight="true" outlineLevel="0" collapsed="false">
      <c r="A86" s="8" t="s">
        <v>158</v>
      </c>
      <c r="B86" s="26" t="n">
        <v>0.1</v>
      </c>
      <c r="R86" s="7" t="s">
        <v>159</v>
      </c>
    </row>
    <row r="87" customFormat="false" ht="15" hidden="false" customHeight="true" outlineLevel="0" collapsed="false">
      <c r="A87" s="8" t="s">
        <v>160</v>
      </c>
      <c r="B87" s="20" t="n">
        <v>9.5</v>
      </c>
      <c r="R87" s="7" t="s">
        <v>161</v>
      </c>
    </row>
    <row r="88" customFormat="false" ht="15" hidden="false" customHeight="true" outlineLevel="0" collapsed="false">
      <c r="A88" s="8" t="s">
        <v>162</v>
      </c>
      <c r="B88" s="20" t="n">
        <v>41</v>
      </c>
      <c r="R88" s="7" t="s">
        <v>118</v>
      </c>
    </row>
    <row r="89" customFormat="false" ht="15" hidden="false" customHeight="true" outlineLevel="0" collapsed="false">
      <c r="A89" s="8" t="s">
        <v>163</v>
      </c>
      <c r="B89" s="14" t="n">
        <v>-0.05</v>
      </c>
      <c r="R89" s="7" t="s">
        <v>164</v>
      </c>
    </row>
    <row r="90" customFormat="false" ht="15" hidden="false" customHeight="true" outlineLevel="0" collapsed="false">
      <c r="A90" s="8" t="s">
        <v>165</v>
      </c>
      <c r="B90" s="13" t="n">
        <v>0.989</v>
      </c>
      <c r="R90" s="7" t="s">
        <v>166</v>
      </c>
    </row>
    <row r="91" customFormat="false" ht="15" hidden="false" customHeight="true" outlineLevel="0" collapsed="false">
      <c r="A91" s="8" t="s">
        <v>167</v>
      </c>
      <c r="B91" s="14" t="n">
        <v>-0.01</v>
      </c>
      <c r="R91" s="7" t="s">
        <v>168</v>
      </c>
    </row>
    <row r="92" customFormat="false" ht="15" hidden="false" customHeight="true" outlineLevel="0" collapsed="false">
      <c r="A92" s="8" t="s">
        <v>169</v>
      </c>
      <c r="B92" s="20" t="n">
        <v>15</v>
      </c>
      <c r="R92" s="7" t="s">
        <v>170</v>
      </c>
    </row>
    <row r="93" customFormat="false" ht="15" hidden="false" customHeight="true" outlineLevel="0" collapsed="false">
      <c r="A93" s="8" t="s">
        <v>171</v>
      </c>
      <c r="B93" s="20" t="n">
        <v>18</v>
      </c>
      <c r="R93" s="7" t="s">
        <v>172</v>
      </c>
    </row>
    <row r="94" customFormat="false" ht="15" hidden="false" customHeight="true" outlineLevel="0" collapsed="false">
      <c r="A94" s="8" t="s">
        <v>173</v>
      </c>
      <c r="B94" s="13" t="n">
        <v>0.15</v>
      </c>
      <c r="R94" s="7" t="s">
        <v>174</v>
      </c>
    </row>
    <row r="95" customFormat="false" ht="15" hidden="false" customHeight="true" outlineLevel="0" collapsed="false">
      <c r="A95" s="8" t="s">
        <v>175</v>
      </c>
      <c r="B95" s="13" t="n">
        <v>0.2</v>
      </c>
      <c r="R95" s="7"/>
    </row>
    <row r="96" customFormat="false" ht="15" hidden="false" customHeight="true" outlineLevel="0" collapsed="false">
      <c r="A96" s="8" t="s">
        <v>176</v>
      </c>
      <c r="B96" s="13" t="n">
        <v>0.22</v>
      </c>
      <c r="R96" s="7"/>
    </row>
    <row r="97" customFormat="false" ht="15" hidden="false" customHeight="true" outlineLevel="0" collapsed="false">
      <c r="A97" s="8" t="s">
        <v>177</v>
      </c>
      <c r="B97" s="13" t="n">
        <v>1.08</v>
      </c>
      <c r="R97" s="7" t="s">
        <v>178</v>
      </c>
    </row>
    <row r="98" customFormat="false" ht="15" hidden="false" customHeight="true" outlineLevel="0" collapsed="false">
      <c r="A98" s="8" t="s">
        <v>179</v>
      </c>
      <c r="B98" s="13" t="n">
        <v>0.66</v>
      </c>
      <c r="R98" s="7" t="s">
        <v>180</v>
      </c>
    </row>
    <row r="99" customFormat="false" ht="15" hidden="false" customHeight="true" outlineLevel="0" collapsed="false">
      <c r="A99" s="8" t="s">
        <v>181</v>
      </c>
      <c r="B99" s="19" t="n">
        <v>30</v>
      </c>
      <c r="R99" s="7" t="s">
        <v>180</v>
      </c>
    </row>
    <row r="100" customFormat="false" ht="15" hidden="false" customHeight="true" outlineLevel="0" collapsed="false">
      <c r="A100" s="8" t="s">
        <v>182</v>
      </c>
      <c r="B100" s="19" t="n">
        <v>24</v>
      </c>
      <c r="R100" s="7" t="s">
        <v>180</v>
      </c>
    </row>
    <row r="101" customFormat="false" ht="15" hidden="false" customHeight="true" outlineLevel="0" collapsed="false">
      <c r="A101" s="8" t="s">
        <v>183</v>
      </c>
      <c r="B101" s="13" t="n">
        <v>0.3</v>
      </c>
      <c r="R101" s="7" t="s">
        <v>184</v>
      </c>
    </row>
    <row r="102" customFormat="false" ht="15" hidden="false" customHeight="true" outlineLevel="0" collapsed="false">
      <c r="A102" s="8" t="s">
        <v>185</v>
      </c>
      <c r="B102" s="19" t="n">
        <v>12</v>
      </c>
      <c r="R102" s="7" t="s">
        <v>180</v>
      </c>
    </row>
    <row r="103" customFormat="false" ht="15" hidden="false" customHeight="true" outlineLevel="0" collapsed="false">
      <c r="A103" s="8" t="s">
        <v>186</v>
      </c>
      <c r="B103" s="19" t="n">
        <v>6</v>
      </c>
      <c r="R103" s="7" t="s">
        <v>180</v>
      </c>
    </row>
    <row r="105" customFormat="false" ht="15" hidden="false" customHeight="true" outlineLevel="0" collapsed="false">
      <c r="A105" s="4" t="s">
        <v>187</v>
      </c>
    </row>
    <row r="106" customFormat="false" ht="15" hidden="false" customHeight="true" outlineLevel="0" collapsed="false">
      <c r="A106" s="4" t="s">
        <v>188</v>
      </c>
      <c r="B106" s="17" t="n">
        <v>0</v>
      </c>
      <c r="R106" s="7" t="s">
        <v>189</v>
      </c>
    </row>
    <row r="107" customFormat="false" ht="15" hidden="false" customHeight="true" outlineLevel="0" collapsed="false">
      <c r="A107" s="4" t="s">
        <v>190</v>
      </c>
      <c r="B107" s="17" t="n">
        <v>0</v>
      </c>
      <c r="R107" s="7"/>
    </row>
    <row r="108" customFormat="false" ht="15" hidden="false" customHeight="true" outlineLevel="0" collapsed="false">
      <c r="A108" s="4" t="s">
        <v>191</v>
      </c>
      <c r="B108" s="17" t="n">
        <v>0</v>
      </c>
      <c r="R108" s="7" t="s">
        <v>192</v>
      </c>
    </row>
    <row r="109" customFormat="false" ht="15" hidden="false" customHeight="true" outlineLevel="0" collapsed="false">
      <c r="A109" s="4" t="s">
        <v>193</v>
      </c>
      <c r="B109" s="27" t="n">
        <v>0</v>
      </c>
      <c r="R109" s="7"/>
    </row>
    <row r="110" customFormat="false" ht="15" hidden="false" customHeight="true" outlineLevel="0" collapsed="false">
      <c r="A110" s="4" t="s">
        <v>194</v>
      </c>
      <c r="B110" s="17" t="n">
        <v>0</v>
      </c>
      <c r="R110" s="7"/>
    </row>
    <row r="111" customFormat="false" ht="15" hidden="false" customHeight="true" outlineLevel="0" collapsed="false">
      <c r="A111" s="4" t="s">
        <v>195</v>
      </c>
      <c r="B111" s="27" t="n">
        <v>1</v>
      </c>
      <c r="R111" s="7" t="s">
        <v>196</v>
      </c>
    </row>
  </sheetData>
  <mergeCells count="6">
    <mergeCell ref="C4:D4"/>
    <mergeCell ref="C7:E7"/>
    <mergeCell ref="F7:H7"/>
    <mergeCell ref="I7:K7"/>
    <mergeCell ref="L7:N7"/>
    <mergeCell ref="O7:Q7"/>
  </mergeCells>
  <dataValidations count="1">
    <dataValidation allowBlank="false" errorStyle="stop" operator="between" showDropDown="false" showErrorMessage="false" showInputMessage="false" sqref="C4" type="list">
      <formula1>"Base,Downside,Aggressive,CFO-capped"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60"/>
  </cols>
  <sheetData>
    <row r="1" customFormat="false" ht="16.15" hidden="false" customHeight="false" outlineLevel="0" collapsed="false">
      <c r="A1" s="28" t="s">
        <v>197</v>
      </c>
    </row>
    <row r="2" customFormat="false" ht="15" hidden="false" customHeight="false" outlineLevel="0" collapsed="false">
      <c r="A2" s="29" t="s">
        <v>198</v>
      </c>
    </row>
    <row r="4" customFormat="false" ht="15" hidden="false" customHeight="false" outlineLevel="0" collapsed="false">
      <c r="A4" s="30" t="s">
        <v>199</v>
      </c>
      <c r="B4" s="30" t="s">
        <v>22</v>
      </c>
      <c r="C4" s="30" t="s">
        <v>24</v>
      </c>
      <c r="D4" s="30" t="s">
        <v>25</v>
      </c>
      <c r="E4" s="30" t="s">
        <v>26</v>
      </c>
      <c r="F4" s="30" t="s">
        <v>200</v>
      </c>
    </row>
    <row r="5" customFormat="false" ht="15" hidden="false" customHeight="false" outlineLevel="0" collapsed="false">
      <c r="A5" s="31" t="s">
        <v>201</v>
      </c>
      <c r="B5" s="32" t="n">
        <v>350.944925746388</v>
      </c>
      <c r="C5" s="32" t="n">
        <v>333.832354687663</v>
      </c>
      <c r="D5" s="32" t="n">
        <v>360.098721683323</v>
      </c>
      <c r="E5" s="32" t="n">
        <v>346.60346109905</v>
      </c>
      <c r="F5" s="33"/>
    </row>
    <row r="6" customFormat="false" ht="15" hidden="false" customHeight="false" outlineLevel="0" collapsed="false">
      <c r="A6" s="31" t="s">
        <v>202</v>
      </c>
      <c r="B6" s="32" t="n">
        <v>422.678654617696</v>
      </c>
      <c r="C6" s="32" t="n">
        <v>368.786926052923</v>
      </c>
      <c r="D6" s="32" t="n">
        <v>454.968732846827</v>
      </c>
      <c r="E6" s="32" t="n">
        <v>407.521478436701</v>
      </c>
      <c r="F6" s="33"/>
    </row>
    <row r="7" customFormat="false" ht="15" hidden="false" customHeight="false" outlineLevel="0" collapsed="false">
      <c r="A7" s="31" t="s">
        <v>203</v>
      </c>
      <c r="B7" s="32" t="n">
        <v>525.528783341553</v>
      </c>
      <c r="C7" s="32" t="n">
        <v>419.059674584062</v>
      </c>
      <c r="D7" s="32" t="n">
        <v>598.031423962777</v>
      </c>
      <c r="E7" s="32" t="n">
        <v>491.605440102444</v>
      </c>
      <c r="F7" s="33" t="s">
        <v>204</v>
      </c>
    </row>
    <row r="8" customFormat="false" ht="15" hidden="false" customHeight="false" outlineLevel="0" collapsed="false">
      <c r="A8" s="31" t="s">
        <v>205</v>
      </c>
      <c r="B8" s="34" t="n">
        <v>0.132080405633509</v>
      </c>
      <c r="C8" s="34" t="n">
        <v>0.0768785635085914</v>
      </c>
      <c r="D8" s="34" t="n">
        <v>0.161608779623623</v>
      </c>
      <c r="E8" s="34" t="n">
        <v>0.118075680964677</v>
      </c>
      <c r="F8" s="33" t="s">
        <v>206</v>
      </c>
    </row>
    <row r="9" customFormat="false" ht="15" hidden="false" customHeight="false" outlineLevel="0" collapsed="false">
      <c r="A9" s="31" t="s">
        <v>207</v>
      </c>
      <c r="B9" s="34" t="n">
        <v>0.204401669916569</v>
      </c>
      <c r="C9" s="34" t="n">
        <v>0.104706961067219</v>
      </c>
      <c r="D9" s="34" t="n">
        <v>0.263455562185901</v>
      </c>
      <c r="E9" s="34" t="n">
        <v>0.175757094705534</v>
      </c>
      <c r="F9" s="33"/>
    </row>
    <row r="10" customFormat="false" ht="15" hidden="false" customHeight="false" outlineLevel="0" collapsed="false">
      <c r="A10" s="31" t="s">
        <v>208</v>
      </c>
      <c r="B10" s="34" t="n">
        <v>0.24332936522873</v>
      </c>
      <c r="C10" s="34" t="n">
        <v>0.136319226576716</v>
      </c>
      <c r="D10" s="34" t="n">
        <v>0.314445105316971</v>
      </c>
      <c r="E10" s="34" t="n">
        <v>0.206330135011039</v>
      </c>
      <c r="F10" s="33"/>
    </row>
    <row r="11" customFormat="false" ht="15" hidden="false" customHeight="false" outlineLevel="0" collapsed="false">
      <c r="A11" s="31" t="s">
        <v>209</v>
      </c>
      <c r="B11" s="32" t="n">
        <v>43.7164265567826</v>
      </c>
      <c r="C11" s="32" t="n">
        <v>35.4860082128125</v>
      </c>
      <c r="D11" s="32" t="n">
        <v>48.2316456060736</v>
      </c>
      <c r="E11" s="32" t="n">
        <v>42.3784343396169</v>
      </c>
      <c r="F11" s="33"/>
    </row>
    <row r="12" customFormat="false" ht="15" hidden="false" customHeight="false" outlineLevel="0" collapsed="false">
      <c r="A12" s="31" t="s">
        <v>210</v>
      </c>
      <c r="B12" s="32" t="n">
        <v>65.0464205441852</v>
      </c>
      <c r="C12" s="32" t="n">
        <v>43.15101875</v>
      </c>
      <c r="D12" s="32" t="n">
        <v>79.2295134559153</v>
      </c>
      <c r="E12" s="32" t="n">
        <v>58.76949375</v>
      </c>
      <c r="F12" s="33"/>
    </row>
    <row r="13" customFormat="false" ht="15" hidden="false" customHeight="false" outlineLevel="0" collapsed="false">
      <c r="A13" s="31" t="s">
        <v>211</v>
      </c>
      <c r="B13" s="32" t="n">
        <v>86.94873109375</v>
      </c>
      <c r="C13" s="32" t="n">
        <v>54.3226975</v>
      </c>
      <c r="D13" s="32" t="n">
        <v>113.239729375</v>
      </c>
      <c r="E13" s="32" t="n">
        <v>75.477406875</v>
      </c>
      <c r="F13" s="33"/>
    </row>
    <row r="14" customFormat="false" ht="15" hidden="false" customHeight="false" outlineLevel="0" collapsed="false">
      <c r="A14" s="31" t="s">
        <v>212</v>
      </c>
      <c r="B14" s="34" t="n">
        <v>0.991059674805178</v>
      </c>
      <c r="C14" s="34" t="n">
        <v>0.962407569273713</v>
      </c>
      <c r="D14" s="34" t="n">
        <v>1.00602282605564</v>
      </c>
      <c r="E14" s="34" t="n">
        <v>0.981371054062687</v>
      </c>
      <c r="F14" s="33"/>
    </row>
    <row r="15" customFormat="false" ht="15" hidden="false" customHeight="false" outlineLevel="0" collapsed="false">
      <c r="A15" s="31" t="s">
        <v>213</v>
      </c>
      <c r="B15" s="34" t="n">
        <v>1.03762053620732</v>
      </c>
      <c r="C15" s="34" t="n">
        <v>0.989018187243764</v>
      </c>
      <c r="D15" s="34" t="n">
        <v>1.0655494753548</v>
      </c>
      <c r="E15" s="34" t="n">
        <v>1.02111926670407</v>
      </c>
      <c r="F15" s="33"/>
    </row>
    <row r="16" customFormat="false" ht="15" hidden="false" customHeight="false" outlineLevel="0" collapsed="false">
      <c r="A16" s="31" t="s">
        <v>214</v>
      </c>
      <c r="B16" s="34" t="n">
        <v>0.226682549038565</v>
      </c>
      <c r="C16" s="34" t="n">
        <v>0.206539080648563</v>
      </c>
      <c r="D16" s="34" t="n">
        <v>0.215734885051689</v>
      </c>
      <c r="E16" s="34" t="n">
        <v>0.230131912570426</v>
      </c>
      <c r="F16" s="33"/>
    </row>
    <row r="17" customFormat="false" ht="15" hidden="false" customHeight="false" outlineLevel="0" collapsed="false">
      <c r="A17" s="31" t="s">
        <v>215</v>
      </c>
      <c r="B17" s="34" t="n">
        <v>0.675392963467749</v>
      </c>
      <c r="C17" s="34" t="n">
        <v>0.691214373796087</v>
      </c>
      <c r="D17" s="34" t="n">
        <v>0.667218107446717</v>
      </c>
      <c r="E17" s="34" t="n">
        <v>0.680008363629478</v>
      </c>
      <c r="F17" s="33"/>
    </row>
    <row r="18" customFormat="false" ht="15" hidden="false" customHeight="false" outlineLevel="0" collapsed="false">
      <c r="A18" s="31" t="s">
        <v>216</v>
      </c>
      <c r="B18" s="32" t="n">
        <v>31.0426040928447</v>
      </c>
      <c r="C18" s="32" t="n">
        <v>36.04979984018</v>
      </c>
      <c r="D18" s="32" t="n">
        <v>30.7009810067195</v>
      </c>
      <c r="E18" s="32" t="n">
        <v>31.1854776402696</v>
      </c>
      <c r="F18" s="33" t="s">
        <v>217</v>
      </c>
    </row>
    <row r="19" customFormat="false" ht="15" hidden="false" customHeight="false" outlineLevel="0" collapsed="false">
      <c r="A19" s="31" t="s">
        <v>218</v>
      </c>
      <c r="B19" s="32" t="n">
        <v>21.2113248291072</v>
      </c>
      <c r="C19" s="32" t="n">
        <v>30.9200991831296</v>
      </c>
      <c r="D19" s="32" t="n">
        <v>18.2554728144461</v>
      </c>
      <c r="E19" s="32" t="n">
        <v>22.4853369325339</v>
      </c>
      <c r="F19" s="33"/>
    </row>
    <row r="20" customFormat="false" ht="15" hidden="false" customHeight="false" outlineLevel="0" collapsed="false">
      <c r="A20" s="31" t="s">
        <v>219</v>
      </c>
      <c r="B20" s="32" t="n">
        <v>29.4395136516084</v>
      </c>
      <c r="C20" s="32" t="n">
        <v>36.04979984018</v>
      </c>
      <c r="D20" s="32" t="n">
        <v>27.1704326069591</v>
      </c>
      <c r="E20" s="32" t="n">
        <v>29.6229200282972</v>
      </c>
      <c r="F20" s="33" t="s">
        <v>220</v>
      </c>
    </row>
    <row r="21" customFormat="false" ht="15" hidden="false" customHeight="false" outlineLevel="0" collapsed="false">
      <c r="A21" s="31" t="s">
        <v>221</v>
      </c>
      <c r="B21" s="34" t="n">
        <v>0.27015791372864</v>
      </c>
      <c r="C21" s="34" t="n">
        <v>0.337893428691138</v>
      </c>
      <c r="D21" s="34" t="n">
        <v>0.249787314581364</v>
      </c>
      <c r="E21" s="34" t="n">
        <v>0.274896412852102</v>
      </c>
      <c r="F21" s="33"/>
    </row>
    <row r="22" customFormat="false" ht="15" hidden="false" customHeight="false" outlineLevel="0" collapsed="false">
      <c r="A22" s="31" t="s">
        <v>222</v>
      </c>
      <c r="B22" s="32" t="n">
        <v>-25.9171932689398</v>
      </c>
      <c r="C22" s="32" t="n">
        <v>-33.7065760480399</v>
      </c>
      <c r="D22" s="32" t="n">
        <v>-23.9833166953799</v>
      </c>
      <c r="E22" s="32" t="n">
        <v>-25.7976244430798</v>
      </c>
      <c r="F22" s="33"/>
    </row>
    <row r="23" customFormat="false" ht="15" hidden="false" customHeight="false" outlineLevel="0" collapsed="false">
      <c r="A23" s="31" t="s">
        <v>223</v>
      </c>
      <c r="B23" s="32" t="n">
        <v>2.60095349175574</v>
      </c>
      <c r="C23" s="32" t="n">
        <v>-32.4289319910061</v>
      </c>
      <c r="D23" s="32" t="n">
        <v>16.8294786557613</v>
      </c>
      <c r="E23" s="32" t="n">
        <v>-2.95510761985904</v>
      </c>
      <c r="F23" s="33"/>
    </row>
    <row r="24" customFormat="false" ht="15" hidden="false" customHeight="false" outlineLevel="0" collapsed="false">
      <c r="A24" s="31" t="s">
        <v>224</v>
      </c>
      <c r="B24" s="32" t="n">
        <v>52.616091817941</v>
      </c>
      <c r="C24" s="32" t="n">
        <v>-19.8421698577076</v>
      </c>
      <c r="D24" s="32" t="n">
        <v>92.741045314583</v>
      </c>
      <c r="E24" s="32" t="n">
        <v>36.8398428684838</v>
      </c>
      <c r="F24" s="33"/>
    </row>
    <row r="25" customFormat="false" ht="15" hidden="false" customHeight="false" outlineLevel="0" collapsed="false">
      <c r="A25" s="31" t="s">
        <v>225</v>
      </c>
      <c r="B25" s="32" t="n">
        <v>14.9508</v>
      </c>
      <c r="C25" s="32" t="n">
        <v>14.9508</v>
      </c>
      <c r="D25" s="32" t="n">
        <v>17.2512</v>
      </c>
      <c r="E25" s="32" t="n">
        <v>13.0308</v>
      </c>
      <c r="F25" s="33" t="s">
        <v>226</v>
      </c>
    </row>
    <row r="26" customFormat="false" ht="15" hidden="false" customHeight="false" outlineLevel="0" collapsed="false">
      <c r="A26" s="31" t="s">
        <v>227</v>
      </c>
      <c r="B26" s="32" t="n">
        <v>61.85380224</v>
      </c>
      <c r="C26" s="32" t="n">
        <v>61.85380224</v>
      </c>
      <c r="D26" s="32" t="n">
        <v>77.71604288</v>
      </c>
      <c r="E26" s="32" t="n">
        <v>48.89737152</v>
      </c>
      <c r="F26" s="33"/>
    </row>
    <row r="27" customFormat="false" ht="15" hidden="false" customHeight="false" outlineLevel="0" collapsed="false">
      <c r="A27" s="31" t="s">
        <v>228</v>
      </c>
      <c r="B27" s="32" t="n">
        <v>8.01876134310437</v>
      </c>
      <c r="C27" s="32" t="n">
        <v>35.5544759978121</v>
      </c>
      <c r="D27" s="32" t="n">
        <v>6.64573213737989</v>
      </c>
      <c r="E27" s="32" t="n">
        <v>8.37556439468612</v>
      </c>
      <c r="F27" s="33"/>
    </row>
    <row r="28" customFormat="false" ht="15" hidden="false" customHeight="false" outlineLevel="0" collapsed="false">
      <c r="A28" s="31" t="s">
        <v>229</v>
      </c>
      <c r="B28" s="32" t="n">
        <v>10.5383801731206</v>
      </c>
      <c r="C28" s="32" t="s">
        <v>230</v>
      </c>
      <c r="D28" s="32" t="n">
        <v>7.87612396769735</v>
      </c>
      <c r="E28" s="32" t="n">
        <v>12.2813851513589</v>
      </c>
      <c r="F28" s="33" t="s">
        <v>231</v>
      </c>
    </row>
    <row r="29" customFormat="false" ht="15" hidden="false" customHeight="false" outlineLevel="0" collapsed="false">
      <c r="A29" s="31" t="s">
        <v>232</v>
      </c>
      <c r="B29" s="35" t="n">
        <v>83.4345732997162</v>
      </c>
      <c r="C29" s="35" t="n">
        <v>82.2805042944768</v>
      </c>
      <c r="D29" s="35" t="n">
        <v>93.4098753238632</v>
      </c>
      <c r="E29" s="35" t="n">
        <v>75.4723745417102</v>
      </c>
      <c r="F29" s="33"/>
    </row>
    <row r="30" customFormat="false" ht="15" hidden="false" customHeight="false" outlineLevel="0" collapsed="false">
      <c r="A30" s="31" t="s">
        <v>233</v>
      </c>
      <c r="B30" s="35" t="n">
        <v>1</v>
      </c>
      <c r="C30" s="35" t="n">
        <v>3</v>
      </c>
      <c r="D30" s="35" t="n">
        <v>1</v>
      </c>
      <c r="E30" s="35" t="n">
        <v>1</v>
      </c>
      <c r="F30" s="33" t="s">
        <v>234</v>
      </c>
    </row>
    <row r="31" customFormat="false" ht="15" hidden="false" customHeight="false" outlineLevel="0" collapsed="false">
      <c r="A31" s="31" t="s">
        <v>235</v>
      </c>
      <c r="B31" s="35" t="n">
        <v>3</v>
      </c>
      <c r="C31" s="35" t="n">
        <v>5</v>
      </c>
      <c r="D31" s="35" t="n">
        <v>2</v>
      </c>
      <c r="E31" s="35" t="n">
        <v>5</v>
      </c>
      <c r="F31"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0" min="2" style="0" width="13"/>
  </cols>
  <sheetData>
    <row r="1" customFormat="false" ht="16.15" hidden="false" customHeight="false" outlineLevel="0" collapsed="false">
      <c r="A1" s="28" t="s">
        <v>236</v>
      </c>
    </row>
    <row r="2" customFormat="false" ht="15" hidden="false" customHeight="false" outlineLevel="0" collapsed="false">
      <c r="A2" s="29" t="s">
        <v>237</v>
      </c>
    </row>
    <row r="4" customFormat="false" ht="35.05" hidden="false" customHeight="false" outlineLevel="0" collapsed="false">
      <c r="A4" s="30" t="s">
        <v>238</v>
      </c>
      <c r="B4" s="30" t="s">
        <v>239</v>
      </c>
      <c r="C4" s="30" t="s">
        <v>240</v>
      </c>
      <c r="D4" s="30" t="s">
        <v>241</v>
      </c>
      <c r="E4" s="30" t="s">
        <v>242</v>
      </c>
      <c r="F4" s="30" t="s">
        <v>243</v>
      </c>
      <c r="G4" s="30" t="s">
        <v>244</v>
      </c>
      <c r="H4" s="30" t="s">
        <v>245</v>
      </c>
      <c r="I4" s="30" t="s">
        <v>246</v>
      </c>
      <c r="J4" s="30" t="s">
        <v>247</v>
      </c>
    </row>
    <row r="5" customFormat="false" ht="15" hidden="false" customHeight="false" outlineLevel="0" collapsed="false">
      <c r="A5" s="36" t="s">
        <v>248</v>
      </c>
      <c r="B5" s="32" t="n">
        <v>525.528783341553</v>
      </c>
      <c r="C5" s="32" t="n">
        <v>0</v>
      </c>
      <c r="D5" s="34" t="n">
        <v>0.24332936522873</v>
      </c>
      <c r="E5" s="32" t="n">
        <v>350.944925746388</v>
      </c>
      <c r="F5" s="32" t="n">
        <v>52.616091817941</v>
      </c>
      <c r="G5" s="32" t="n">
        <v>29.4395136516084</v>
      </c>
      <c r="H5" s="32" t="n">
        <v>21.2113248291072</v>
      </c>
      <c r="I5" s="34" t="n">
        <v>0.675392963467749</v>
      </c>
      <c r="J5" s="32" t="n">
        <v>10.5383801731206</v>
      </c>
    </row>
    <row r="6" customFormat="false" ht="15" hidden="false" customHeight="false" outlineLevel="0" collapsed="false">
      <c r="A6" s="31" t="s">
        <v>249</v>
      </c>
      <c r="B6" s="32" t="n">
        <v>499.664277834259</v>
      </c>
      <c r="C6" s="32" t="n">
        <v>-25.864505507294</v>
      </c>
      <c r="D6" s="34" t="n">
        <v>0.223709641836029</v>
      </c>
      <c r="E6" s="32" t="n">
        <v>345.594025604987</v>
      </c>
      <c r="F6" s="32" t="n">
        <v>33.120822369449</v>
      </c>
      <c r="G6" s="32" t="n">
        <v>32.2157610513064</v>
      </c>
      <c r="H6" s="32" t="n">
        <v>23.2029937596184</v>
      </c>
      <c r="I6" s="34" t="n">
        <v>0.683334463739911</v>
      </c>
      <c r="J6" s="32" t="n">
        <v>13.9025795833705</v>
      </c>
    </row>
    <row r="7" customFormat="false" ht="15" hidden="false" customHeight="false" outlineLevel="0" collapsed="false">
      <c r="A7" s="31" t="s">
        <v>250</v>
      </c>
      <c r="B7" s="32" t="n">
        <v>551.393288848848</v>
      </c>
      <c r="C7" s="32" t="n">
        <v>25.864505507295</v>
      </c>
      <c r="D7" s="34" t="n">
        <v>0.261659835280652</v>
      </c>
      <c r="E7" s="32" t="n">
        <v>356.295825887788</v>
      </c>
      <c r="F7" s="32" t="n">
        <v>72.1113612664336</v>
      </c>
      <c r="G7" s="32" t="n">
        <v>27.1523701338416</v>
      </c>
      <c r="H7" s="32" t="n">
        <v>19.5518639657936</v>
      </c>
      <c r="I7" s="34" t="n">
        <v>0.667941604981963</v>
      </c>
      <c r="J7" s="32" t="n">
        <v>8.50764803712088</v>
      </c>
    </row>
    <row r="8" customFormat="false" ht="15" hidden="false" customHeight="false" outlineLevel="0" collapsed="false">
      <c r="A8" s="31" t="s">
        <v>251</v>
      </c>
      <c r="B8" s="32" t="n">
        <v>526.08618631615</v>
      </c>
      <c r="C8" s="32" t="n">
        <v>0.557402974597039</v>
      </c>
      <c r="D8" s="34" t="n">
        <v>0.24306398377855</v>
      </c>
      <c r="E8" s="32" t="n">
        <v>351.094538069205</v>
      </c>
      <c r="F8" s="32" t="n">
        <v>53.0801535085376</v>
      </c>
      <c r="G8" s="32" t="n">
        <v>29.4332497915815</v>
      </c>
      <c r="H8" s="32" t="n">
        <v>21.1985511507869</v>
      </c>
      <c r="I8" s="34" t="n">
        <v>0.675061364073983</v>
      </c>
      <c r="J8" s="32" t="n">
        <v>10.4808968505318</v>
      </c>
    </row>
    <row r="9" customFormat="false" ht="15" hidden="false" customHeight="false" outlineLevel="0" collapsed="false">
      <c r="A9" s="31" t="s">
        <v>252</v>
      </c>
      <c r="B9" s="32" t="n">
        <v>517.385545551397</v>
      </c>
      <c r="C9" s="32" t="n">
        <v>-8.14323779015604</v>
      </c>
      <c r="D9" s="34" t="n">
        <v>0.243649402540973</v>
      </c>
      <c r="E9" s="32" t="n">
        <v>348.007140795344</v>
      </c>
      <c r="F9" s="32" t="n">
        <v>45.6714359844175</v>
      </c>
      <c r="G9" s="32" t="n">
        <v>31.0571598352758</v>
      </c>
      <c r="H9" s="32" t="n">
        <v>21.4665800700516</v>
      </c>
      <c r="I9" s="34" t="n">
        <v>0.677034663551969</v>
      </c>
      <c r="J9" s="32" t="n">
        <v>11.4376809515294</v>
      </c>
    </row>
    <row r="10" customFormat="false" ht="15" hidden="false" customHeight="false" outlineLevel="0" collapsed="false">
      <c r="A10" s="31" t="s">
        <v>253</v>
      </c>
      <c r="B10" s="32" t="n">
        <v>528.819555240685</v>
      </c>
      <c r="C10" s="32" t="n">
        <v>3.29077189913198</v>
      </c>
      <c r="D10" s="34" t="n">
        <v>0.24586920429425</v>
      </c>
      <c r="E10" s="32" t="n">
        <v>351.574296188677</v>
      </c>
      <c r="F10" s="32" t="n">
        <v>55.1394348607085</v>
      </c>
      <c r="G10" s="32" t="n">
        <v>29.1476986520747</v>
      </c>
      <c r="H10" s="32" t="n">
        <v>20.975721033641</v>
      </c>
      <c r="I10" s="34" t="n">
        <v>0.674436536369644</v>
      </c>
      <c r="J10" s="32" t="n">
        <v>10.2254653028135</v>
      </c>
    </row>
    <row r="11" customFormat="false" ht="15" hidden="false" customHeight="false" outlineLevel="0" collapsed="false">
      <c r="A11" s="31" t="s">
        <v>254</v>
      </c>
      <c r="B11" s="32" t="n">
        <v>522.075126940008</v>
      </c>
      <c r="C11" s="32" t="n">
        <v>-3.453656401545</v>
      </c>
      <c r="D11" s="34" t="n">
        <v>0.240659155251843</v>
      </c>
      <c r="E11" s="32" t="n">
        <v>350.278841201537</v>
      </c>
      <c r="F11" s="32" t="n">
        <v>49.9665545414917</v>
      </c>
      <c r="G11" s="32" t="n">
        <v>29.7556840027292</v>
      </c>
      <c r="H11" s="32" t="n">
        <v>21.4644378309734</v>
      </c>
      <c r="I11" s="34" t="n">
        <v>0.676407320014907</v>
      </c>
      <c r="J11" s="32" t="n">
        <v>10.8887559376618</v>
      </c>
    </row>
    <row r="12" customFormat="false" ht="15" hidden="false" customHeight="false" outlineLevel="0" collapsed="false">
      <c r="A12" s="31" t="s">
        <v>255</v>
      </c>
      <c r="B12" s="32" t="n">
        <v>517.69859190751</v>
      </c>
      <c r="C12" s="32" t="n">
        <v>-7.83019143404295</v>
      </c>
      <c r="D12" s="34" t="n">
        <v>0.232332514464474</v>
      </c>
      <c r="E12" s="32" t="n">
        <v>350.599030875338</v>
      </c>
      <c r="F12" s="32" t="n">
        <v>48.1002577052371</v>
      </c>
      <c r="G12" s="32" t="n">
        <v>29.596076053379</v>
      </c>
      <c r="H12" s="32" t="n">
        <v>21.6835079597805</v>
      </c>
      <c r="I12" s="34" t="n">
        <v>0.67825903153339</v>
      </c>
      <c r="J12" s="32" t="n">
        <v>11.3148563889308</v>
      </c>
    </row>
    <row r="13" customFormat="false" ht="15" hidden="false" customHeight="false" outlineLevel="0" collapsed="false">
      <c r="A13" s="31" t="s">
        <v>256</v>
      </c>
      <c r="B13" s="32" t="n">
        <v>533.358974775596</v>
      </c>
      <c r="C13" s="32" t="n">
        <v>7.83019143404306</v>
      </c>
      <c r="D13" s="34" t="n">
        <v>0.254192672394717</v>
      </c>
      <c r="E13" s="32" t="n">
        <v>351.290820617438</v>
      </c>
      <c r="F13" s="32" t="n">
        <v>57.1319259306449</v>
      </c>
      <c r="G13" s="32" t="n">
        <v>29.2849050045937</v>
      </c>
      <c r="H13" s="32" t="n">
        <v>20.7620924834616</v>
      </c>
      <c r="I13" s="34" t="n">
        <v>0.672557476377481</v>
      </c>
      <c r="J13" s="32" t="n">
        <v>9.86914973767783</v>
      </c>
    </row>
    <row r="14" customFormat="false" ht="15" hidden="false" customHeight="false" outlineLevel="0" collapsed="false">
      <c r="A14" s="31" t="s">
        <v>257</v>
      </c>
      <c r="B14" s="32" t="n">
        <v>549.918862039646</v>
      </c>
      <c r="C14" s="32" t="n">
        <v>24.390078698093</v>
      </c>
      <c r="D14" s="34" t="n">
        <v>0.258670779965416</v>
      </c>
      <c r="E14" s="32" t="n">
        <v>357.295637699445</v>
      </c>
      <c r="F14" s="32" t="n">
        <v>68.7674236036634</v>
      </c>
      <c r="G14" s="32" t="n">
        <v>29.3015111849847</v>
      </c>
      <c r="H14" s="32" t="n">
        <v>20.9197186826086</v>
      </c>
      <c r="I14" s="34" t="n">
        <v>0.677336600153216</v>
      </c>
      <c r="J14" s="32" t="n">
        <v>8.49961423228094</v>
      </c>
    </row>
    <row r="15" customFormat="false" ht="15" hidden="false" customHeight="false" outlineLevel="0" collapsed="false">
      <c r="A15" s="31" t="s">
        <v>258</v>
      </c>
      <c r="B15" s="32" t="n">
        <v>502.320627577423</v>
      </c>
      <c r="C15" s="32" t="n">
        <v>-23.20815576413</v>
      </c>
      <c r="D15" s="34" t="n">
        <v>0.228434503567853</v>
      </c>
      <c r="E15" s="32" t="n">
        <v>344.68617417147</v>
      </c>
      <c r="F15" s="32" t="n">
        <v>37.1303050207868</v>
      </c>
      <c r="G15" s="32" t="n">
        <v>29.5784269710148</v>
      </c>
      <c r="H15" s="32" t="n">
        <v>21.5047479383457</v>
      </c>
      <c r="I15" s="34" t="n">
        <v>0.673415741096888</v>
      </c>
      <c r="J15" s="32" t="n">
        <v>13.6260884908573</v>
      </c>
    </row>
    <row r="17" customFormat="false" ht="15" hidden="false" customHeight="false" outlineLevel="0" collapsed="false">
      <c r="A17" s="36" t="s">
        <v>259</v>
      </c>
    </row>
    <row r="18" customFormat="false" ht="46.25" hidden="false" customHeight="false" outlineLevel="0" collapsed="false">
      <c r="A18" s="30" t="s">
        <v>260</v>
      </c>
      <c r="B18" s="30" t="s">
        <v>261</v>
      </c>
      <c r="C18" s="30" t="s">
        <v>262</v>
      </c>
      <c r="D18" s="30" t="s">
        <v>263</v>
      </c>
    </row>
    <row r="19" customFormat="false" ht="27.75" hidden="false" customHeight="true" outlineLevel="0" collapsed="false">
      <c r="A19" s="37" t="s">
        <v>264</v>
      </c>
      <c r="B19" s="38" t="n">
        <v>-0.711</v>
      </c>
      <c r="C19" s="38" t="n">
        <v>8.039</v>
      </c>
      <c r="D19" s="39" t="n">
        <v>0.777</v>
      </c>
    </row>
    <row r="20" customFormat="false" ht="27.75" hidden="false" customHeight="true" outlineLevel="0" collapsed="false">
      <c r="A20" s="37" t="s">
        <v>265</v>
      </c>
      <c r="B20" s="38" t="n">
        <v>-4.102</v>
      </c>
      <c r="C20" s="36" t="s">
        <v>266</v>
      </c>
      <c r="D20" s="39" t="n">
        <v>0.59</v>
      </c>
    </row>
    <row r="21" customFormat="false" ht="27.75" hidden="false" customHeight="true" outlineLevel="0" collapsed="false">
      <c r="A21" s="37" t="s">
        <v>267</v>
      </c>
      <c r="B21" s="38" t="n">
        <v>-7.93</v>
      </c>
      <c r="C21" s="38" t="n">
        <v>6.07</v>
      </c>
      <c r="D21" s="39" t="n">
        <v>0.324</v>
      </c>
    </row>
    <row r="23" customFormat="false" ht="60" hidden="false" customHeight="true" outlineLevel="0" collapsed="false">
      <c r="A23" s="40" t="s">
        <v>268</v>
      </c>
      <c r="B23" s="40"/>
      <c r="C23" s="40"/>
      <c r="D23" s="40"/>
      <c r="E23" s="40"/>
      <c r="F23" s="40"/>
      <c r="G23" s="40"/>
      <c r="H23" s="40"/>
      <c r="I23" s="40"/>
      <c r="J23" s="40"/>
    </row>
  </sheetData>
  <mergeCells count="1">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6"/>
    <col collapsed="false" customWidth="true" hidden="false" outlineLevel="0" max="6" min="3" style="1" width="14"/>
    <col collapsed="false" customWidth="true" hidden="false" outlineLevel="0" max="7" min="7" style="1" width="44"/>
  </cols>
  <sheetData>
    <row r="1" customFormat="false" ht="15.75" hidden="false" customHeight="true" outlineLevel="0" collapsed="false">
      <c r="A1" s="2" t="s">
        <v>269</v>
      </c>
    </row>
    <row r="2" customFormat="false" ht="15" hidden="false" customHeight="true" outlineLevel="0" collapsed="false">
      <c r="A2" s="5" t="s">
        <v>270</v>
      </c>
    </row>
    <row r="4" customFormat="false" ht="15" hidden="false" customHeight="true" outlineLevel="0" collapsed="false">
      <c r="A4" s="11" t="s">
        <v>199</v>
      </c>
      <c r="B4" s="12" t="s">
        <v>271</v>
      </c>
      <c r="C4" s="12" t="s">
        <v>272</v>
      </c>
      <c r="D4" s="12" t="s">
        <v>273</v>
      </c>
      <c r="E4" s="12" t="s">
        <v>274</v>
      </c>
      <c r="F4" s="12" t="s">
        <v>275</v>
      </c>
      <c r="G4" s="12" t="s">
        <v>276</v>
      </c>
    </row>
    <row r="5" customFormat="false" ht="15" hidden="false" customHeight="true" outlineLevel="0" collapsed="false">
      <c r="A5" s="8" t="s">
        <v>277</v>
      </c>
      <c r="B5" s="7" t="s">
        <v>278</v>
      </c>
      <c r="C5" s="41" t="n">
        <v>380.362498103139</v>
      </c>
      <c r="D5" s="41" t="n">
        <v>380.362498103139</v>
      </c>
      <c r="E5" s="42" t="n">
        <f aca="false">Bookings!O9</f>
        <v>380.362498103139</v>
      </c>
      <c r="F5" s="22" t="n">
        <f aca="false">IF(ISNUMBER(C5),E5-C5,"")</f>
        <v>0</v>
      </c>
      <c r="G5" s="7" t="s">
        <v>279</v>
      </c>
    </row>
    <row r="6" customFormat="false" ht="15" hidden="false" customHeight="true" outlineLevel="0" collapsed="false">
      <c r="A6" s="8" t="s">
        <v>280</v>
      </c>
      <c r="B6" s="7" t="s">
        <v>278</v>
      </c>
      <c r="C6" s="41" t="n">
        <v>374.434665028677</v>
      </c>
      <c r="D6" s="41" t="n">
        <v>374.434665028677</v>
      </c>
      <c r="E6" s="42" t="n">
        <f aca="false">Bookings!O11</f>
        <v>374.434665028677</v>
      </c>
      <c r="F6" s="22" t="n">
        <f aca="false">IF(ISNUMBER(C6),E6-C6,"")</f>
        <v>0</v>
      </c>
      <c r="G6" s="7" t="s">
        <v>281</v>
      </c>
    </row>
    <row r="7" customFormat="false" ht="15" hidden="false" customHeight="true" outlineLevel="0" collapsed="false">
      <c r="A7" s="8" t="s">
        <v>282</v>
      </c>
      <c r="B7" s="7" t="s">
        <v>283</v>
      </c>
      <c r="C7" s="41" t="n">
        <v>67.2767353803121</v>
      </c>
      <c r="D7" s="41" t="n">
        <v>75.6734427555362</v>
      </c>
      <c r="E7" s="42" t="n">
        <f aca="false">Bookings!O13</f>
        <v>67.2767353803121</v>
      </c>
      <c r="F7" s="22" t="n">
        <f aca="false">IF(ISNUMBER(C7),E7-C7,"")</f>
        <v>0</v>
      </c>
      <c r="G7" s="7" t="s">
        <v>284</v>
      </c>
    </row>
    <row r="8" customFormat="false" ht="15" hidden="false" customHeight="true" outlineLevel="0" collapsed="false">
      <c r="A8" s="8" t="s">
        <v>285</v>
      </c>
      <c r="B8" s="7" t="s">
        <v>286</v>
      </c>
      <c r="C8" s="41" t="n">
        <v>40.0204265567826</v>
      </c>
      <c r="D8" s="41" t="n">
        <v>45.0403695032779</v>
      </c>
      <c r="E8" s="42" t="n">
        <f aca="false">Bookings!O14</f>
        <v>40.0204265567826</v>
      </c>
      <c r="F8" s="22" t="n">
        <f aca="false">IF(ISNUMBER(C8),E8-C8,"")</f>
        <v>0</v>
      </c>
      <c r="G8" s="7" t="s">
        <v>287</v>
      </c>
    </row>
    <row r="9" customFormat="false" ht="15" hidden="false" customHeight="true" outlineLevel="0" collapsed="false">
      <c r="A9" s="8" t="s">
        <v>288</v>
      </c>
      <c r="B9" s="7" t="s">
        <v>289</v>
      </c>
      <c r="C9" s="41" t="n">
        <v>10.1155763636576</v>
      </c>
      <c r="D9" s="41" t="n">
        <v>11.7738675708146</v>
      </c>
      <c r="E9" s="42" t="n">
        <f aca="false">Bookings!D14</f>
        <v>10.1155763636576</v>
      </c>
      <c r="F9" s="22" t="n">
        <f aca="false">IF(ISNUMBER(C9),E9-C9,"")</f>
        <v>0</v>
      </c>
      <c r="G9" s="7"/>
    </row>
    <row r="10" customFormat="false" ht="15" hidden="false" customHeight="true" outlineLevel="0" collapsed="false">
      <c r="A10" s="8" t="s">
        <v>290</v>
      </c>
      <c r="B10" s="7" t="s">
        <v>291</v>
      </c>
      <c r="C10" s="41" t="n">
        <v>214.538317558482</v>
      </c>
      <c r="D10" s="41" t="n">
        <v>207.69673987607</v>
      </c>
      <c r="E10" s="42" t="n">
        <f aca="false">Bookings!O15</f>
        <v>214.538317558482</v>
      </c>
      <c r="F10" s="22" t="n">
        <f aca="false">IF(ISNUMBER(C10),E10-C10,"")</f>
        <v>0</v>
      </c>
      <c r="G10" s="7" t="s">
        <v>292</v>
      </c>
    </row>
    <row r="11" customFormat="false" ht="15" hidden="false" customHeight="true" outlineLevel="0" collapsed="false">
      <c r="A11" s="8" t="s">
        <v>293</v>
      </c>
      <c r="B11" s="7" t="s">
        <v>294</v>
      </c>
      <c r="C11" s="41" t="n">
        <v>-32.1151261600503</v>
      </c>
      <c r="D11" s="41" t="n">
        <v>27.7527215199864</v>
      </c>
      <c r="E11" s="42" t="n">
        <f aca="false">Bookings!O24</f>
        <v>-32.1151261600503</v>
      </c>
      <c r="F11" s="22" t="n">
        <f aca="false">IF(ISNUMBER(C11),E11-C11,"")</f>
        <v>0</v>
      </c>
      <c r="G11" s="7" t="s">
        <v>295</v>
      </c>
    </row>
    <row r="12" customFormat="false" ht="15" hidden="false" customHeight="true" outlineLevel="0" collapsed="false">
      <c r="A12" s="8" t="s">
        <v>296</v>
      </c>
      <c r="B12" s="7" t="s">
        <v>297</v>
      </c>
      <c r="C12" s="41" t="n">
        <v>3.9834155325834</v>
      </c>
      <c r="D12" s="41" t="n">
        <v>0</v>
      </c>
      <c r="E12" s="42" t="n">
        <f aca="false">Bookings!O25</f>
        <v>3.9834155325834</v>
      </c>
      <c r="F12" s="22" t="n">
        <f aca="false">IF(ISNUMBER(C12),E12-C12,"")</f>
        <v>0</v>
      </c>
      <c r="G12" s="7"/>
    </row>
    <row r="13" customFormat="false" ht="15" hidden="false" customHeight="true" outlineLevel="0" collapsed="false">
      <c r="A13" s="8" t="s">
        <v>298</v>
      </c>
      <c r="B13" s="7" t="s">
        <v>294</v>
      </c>
      <c r="C13" s="41" t="n">
        <v>-17.236727174436</v>
      </c>
      <c r="D13" s="41" t="n">
        <v>84.9224036215869</v>
      </c>
      <c r="E13" s="42" t="n">
        <f aca="false">Bookings!P24</f>
        <v>-17.236727174436</v>
      </c>
      <c r="F13" s="22" t="n">
        <f aca="false">IF(ISNUMBER(C13),E13-C13,"")</f>
        <v>0</v>
      </c>
      <c r="G13" s="7"/>
    </row>
    <row r="14" customFormat="false" ht="15" hidden="false" customHeight="true" outlineLevel="0" collapsed="false">
      <c r="A14" s="8" t="s">
        <v>299</v>
      </c>
      <c r="B14" s="7" t="s">
        <v>300</v>
      </c>
      <c r="C14" s="41" t="n">
        <v>3.696</v>
      </c>
      <c r="D14" s="41" t="n">
        <v>4.02211764705882</v>
      </c>
      <c r="E14" s="42" t="n">
        <f aca="false">Channel!O12</f>
        <v>3.696</v>
      </c>
      <c r="F14" s="22" t="n">
        <f aca="false">IF(ISNUMBER(C14),E14-C14,"")</f>
        <v>0</v>
      </c>
      <c r="G14" s="7" t="s">
        <v>301</v>
      </c>
    </row>
    <row r="15" customFormat="false" ht="15" hidden="false" customHeight="true" outlineLevel="0" collapsed="false">
      <c r="A15" s="8" t="s">
        <v>302</v>
      </c>
      <c r="B15" s="7" t="s">
        <v>300</v>
      </c>
      <c r="C15" s="41" t="n">
        <v>19.70976</v>
      </c>
      <c r="D15" s="41" t="n">
        <v>21.4488564705882</v>
      </c>
      <c r="E15" s="42" t="n">
        <f aca="false">Channel!Q12</f>
        <v>19.70976</v>
      </c>
      <c r="F15" s="22" t="n">
        <f aca="false">IF(ISNUMBER(C15),E15-C15,"")</f>
        <v>0</v>
      </c>
      <c r="G15" s="7"/>
    </row>
    <row r="16" customFormat="false" ht="15" hidden="false" customHeight="true" outlineLevel="0" collapsed="false">
      <c r="A16" s="8" t="s">
        <v>303</v>
      </c>
      <c r="B16" s="7" t="s">
        <v>304</v>
      </c>
      <c r="C16" s="43" t="n">
        <v>0.226682549038565</v>
      </c>
      <c r="D16" s="43" t="n">
        <v>0.219304674778627</v>
      </c>
      <c r="E16" s="44" t="n">
        <f aca="false">Channel!Q13</f>
        <v>0.226682549038565</v>
      </c>
      <c r="F16" s="15" t="n">
        <f aca="false">IF(ISNUMBER(C16),E16-C16,"")</f>
        <v>0</v>
      </c>
      <c r="G16" s="7" t="s">
        <v>305</v>
      </c>
    </row>
    <row r="17" customFormat="false" ht="15" hidden="false" customHeight="true" outlineLevel="0" collapsed="false">
      <c r="A17" s="8" t="s">
        <v>306</v>
      </c>
      <c r="B17" s="7" t="s">
        <v>307</v>
      </c>
      <c r="C17" s="41" t="n">
        <v>11.70885472</v>
      </c>
      <c r="D17" s="41" t="n">
        <v>13.3155183717647</v>
      </c>
      <c r="E17" s="42" t="n">
        <f aca="false">Channel!Q22</f>
        <v>11.70885472</v>
      </c>
      <c r="F17" s="22" t="n">
        <f aca="false">IF(ISNUMBER(C17),E17-C17,"")</f>
        <v>0</v>
      </c>
      <c r="G17" s="7"/>
    </row>
    <row r="18" customFormat="false" ht="15" hidden="false" customHeight="true" outlineLevel="0" collapsed="false">
      <c r="A18" s="8" t="s">
        <v>308</v>
      </c>
      <c r="B18" s="7" t="s">
        <v>300</v>
      </c>
      <c r="C18" s="41" t="n">
        <v>57.9698823529412</v>
      </c>
      <c r="D18" s="41" t="n">
        <v>57.9698823529412</v>
      </c>
      <c r="E18" s="42" t="n">
        <f aca="false">Channel!Q25</f>
        <v>57.9698823529412</v>
      </c>
      <c r="F18" s="22" t="n">
        <f aca="false">IF(ISNUMBER(C18),E18-C18,"")</f>
        <v>0</v>
      </c>
      <c r="G18" s="7"/>
    </row>
    <row r="19" customFormat="false" ht="15" hidden="false" customHeight="true" outlineLevel="0" collapsed="false">
      <c r="A19" s="8" t="s">
        <v>309</v>
      </c>
      <c r="B19" s="7" t="s">
        <v>310</v>
      </c>
      <c r="C19" s="41" t="n">
        <v>86.94873109375</v>
      </c>
      <c r="D19" s="41" t="n">
        <v>97.8039181893382</v>
      </c>
      <c r="E19" s="42" t="n">
        <f aca="false">ARR_bridge!Q17</f>
        <v>86.94873109375</v>
      </c>
      <c r="F19" s="22" t="n">
        <f aca="false">IF(ISNUMBER(C19),E19-C19,"")</f>
        <v>0</v>
      </c>
      <c r="G19" s="7"/>
    </row>
    <row r="20" customFormat="false" ht="15" hidden="false" customHeight="true" outlineLevel="0" collapsed="false">
      <c r="A20" s="8" t="s">
        <v>311</v>
      </c>
      <c r="B20" s="7" t="s">
        <v>310</v>
      </c>
      <c r="C20" s="41" t="n">
        <v>350.944925746388</v>
      </c>
      <c r="D20" s="41" t="n">
        <v>356.295825887788</v>
      </c>
      <c r="E20" s="42" t="n">
        <f aca="false">ARR_bridge!O12</f>
        <v>350.944925746388</v>
      </c>
      <c r="F20" s="22" t="n">
        <f aca="false">IF(ISNUMBER(C20),E20-C20,"")</f>
        <v>0</v>
      </c>
      <c r="G20" s="7"/>
    </row>
    <row r="21" customFormat="false" ht="15" hidden="false" customHeight="true" outlineLevel="0" collapsed="false">
      <c r="A21" s="8" t="s">
        <v>312</v>
      </c>
      <c r="B21" s="7" t="s">
        <v>310</v>
      </c>
      <c r="C21" s="41" t="n">
        <v>422.678654617696</v>
      </c>
      <c r="D21" s="41" t="n">
        <v>437.03799822255</v>
      </c>
      <c r="E21" s="42" t="n">
        <f aca="false">ARR_bridge!P12</f>
        <v>422.678654617696</v>
      </c>
      <c r="F21" s="22" t="n">
        <f aca="false">IF(ISNUMBER(C21),E21-C21,"")</f>
        <v>0</v>
      </c>
      <c r="G21" s="7"/>
    </row>
    <row r="22" customFormat="false" ht="15" hidden="false" customHeight="true" outlineLevel="0" collapsed="false">
      <c r="A22" s="8" t="s">
        <v>313</v>
      </c>
      <c r="B22" s="7" t="s">
        <v>314</v>
      </c>
      <c r="C22" s="41" t="n">
        <v>525.528783341553</v>
      </c>
      <c r="D22" s="41" t="n">
        <v>551.393288848848</v>
      </c>
      <c r="E22" s="42" t="n">
        <f aca="false">ARR_bridge!Q12</f>
        <v>525.528783341553</v>
      </c>
      <c r="F22" s="22" t="n">
        <f aca="false">IF(ISNUMBER(C22),E22-C22,"")</f>
        <v>0</v>
      </c>
      <c r="G22" s="7" t="s">
        <v>315</v>
      </c>
    </row>
    <row r="23" customFormat="false" ht="15" hidden="false" customHeight="true" outlineLevel="0" collapsed="false">
      <c r="A23" s="8" t="s">
        <v>205</v>
      </c>
      <c r="B23" s="7" t="s">
        <v>316</v>
      </c>
      <c r="C23" s="43" t="n">
        <v>0.132080405633509</v>
      </c>
      <c r="D23" s="43" t="n">
        <v>0.149341373831575</v>
      </c>
      <c r="E23" s="44" t="n">
        <f aca="false">ARR_bridge!O18</f>
        <v>0.132080405633509</v>
      </c>
      <c r="F23" s="15" t="n">
        <f aca="false">IF(ISNUMBER(C23),E23-C23,"")</f>
        <v>0</v>
      </c>
      <c r="G23" s="7"/>
    </row>
    <row r="24" customFormat="false" ht="15" hidden="false" customHeight="true" outlineLevel="0" collapsed="false">
      <c r="A24" s="8" t="s">
        <v>208</v>
      </c>
      <c r="B24" s="7" t="s">
        <v>316</v>
      </c>
      <c r="C24" s="43" t="n">
        <v>0.24332936522873</v>
      </c>
      <c r="D24" s="43" t="n">
        <v>0.261659835280652</v>
      </c>
      <c r="E24" s="44" t="n">
        <f aca="false">ARR_bridge!Q18</f>
        <v>0.24332936522873</v>
      </c>
      <c r="F24" s="15" t="n">
        <f aca="false">IF(ISNUMBER(C24),E24-C24,"")</f>
        <v>0</v>
      </c>
      <c r="G24" s="7"/>
    </row>
    <row r="25" customFormat="false" ht="15" hidden="false" customHeight="true" outlineLevel="0" collapsed="false">
      <c r="A25" s="8" t="s">
        <v>317</v>
      </c>
      <c r="B25" s="7" t="s">
        <v>318</v>
      </c>
      <c r="C25" s="41" t="n">
        <v>3.61278334155281</v>
      </c>
      <c r="D25" s="41" t="n">
        <v>29.4772888488476</v>
      </c>
      <c r="E25" s="42" t="n">
        <f aca="false">ARR_bridge!Q20</f>
        <v>3.61278334155281</v>
      </c>
      <c r="F25" s="22" t="n">
        <f aca="false">IF(ISNUMBER(C25),E25-C25,"")</f>
        <v>0</v>
      </c>
      <c r="G25" s="7"/>
    </row>
    <row r="26" customFormat="false" ht="15" hidden="false" customHeight="true" outlineLevel="0" collapsed="false">
      <c r="A26" s="8" t="s">
        <v>213</v>
      </c>
      <c r="B26" s="7" t="s">
        <v>319</v>
      </c>
      <c r="C26" s="43" t="n">
        <v>1.03762053620732</v>
      </c>
      <c r="D26" s="43" t="n">
        <v>1.03787170109756</v>
      </c>
      <c r="E26" s="44" t="n">
        <f aca="false">ARR_bridge!Q21</f>
        <v>1.03762053620732</v>
      </c>
      <c r="F26" s="15" t="n">
        <f aca="false">IF(ISNUMBER(C26),E26-C26,"")</f>
        <v>0</v>
      </c>
      <c r="G26" s="7" t="s">
        <v>320</v>
      </c>
    </row>
    <row r="27" customFormat="false" ht="15" hidden="false" customHeight="true" outlineLevel="0" collapsed="false">
      <c r="A27" s="8" t="s">
        <v>321</v>
      </c>
      <c r="B27" s="7" t="s">
        <v>322</v>
      </c>
      <c r="C27" s="41" t="n">
        <v>619.397086709494</v>
      </c>
      <c r="D27" s="41" t="n">
        <v>653.422716091759</v>
      </c>
      <c r="E27" s="42" t="n">
        <f aca="false">PnL!Q8</f>
        <v>619.397086709494</v>
      </c>
      <c r="F27" s="22" t="n">
        <f aca="false">IF(ISNUMBER(C27),E27-C27,"")</f>
        <v>0</v>
      </c>
      <c r="G27" s="7" t="s">
        <v>323</v>
      </c>
    </row>
    <row r="28" customFormat="false" ht="15" hidden="false" customHeight="true" outlineLevel="0" collapsed="false">
      <c r="A28" s="8" t="s">
        <v>324</v>
      </c>
      <c r="B28" s="7" t="s">
        <v>325</v>
      </c>
      <c r="C28" s="43" t="n">
        <v>0.677271122727441</v>
      </c>
      <c r="D28" s="43" t="n">
        <v>0.671839253468334</v>
      </c>
      <c r="E28" s="44" t="n">
        <f aca="false">PnL!Q15</f>
        <v>0.677271122727441</v>
      </c>
      <c r="F28" s="15" t="n">
        <f aca="false">IF(ISNUMBER(C28),E28-C28,"")</f>
        <v>0</v>
      </c>
      <c r="G28" s="7" t="s">
        <v>326</v>
      </c>
    </row>
    <row r="29" customFormat="false" ht="15" hidden="false" customHeight="true" outlineLevel="0" collapsed="false">
      <c r="A29" s="8" t="s">
        <v>327</v>
      </c>
      <c r="B29" s="7" t="s">
        <v>322</v>
      </c>
      <c r="C29" s="41" t="n">
        <v>-25.9171932689398</v>
      </c>
      <c r="D29" s="41" t="n">
        <v>-22.4077133434573</v>
      </c>
      <c r="E29" s="42" t="n">
        <f aca="false">PnL!O22</f>
        <v>-25.9171932689398</v>
      </c>
      <c r="F29" s="22" t="n">
        <f aca="false">IF(ISNUMBER(C29),E29-C29,"")</f>
        <v>0</v>
      </c>
      <c r="G29" s="7"/>
    </row>
    <row r="30" customFormat="false" ht="15" hidden="false" customHeight="true" outlineLevel="0" collapsed="false">
      <c r="A30" s="8" t="s">
        <v>328</v>
      </c>
      <c r="B30" s="7" t="s">
        <v>322</v>
      </c>
      <c r="C30" s="41" t="n">
        <v>52.616091817941</v>
      </c>
      <c r="D30" s="41" t="n">
        <v>72.1113612664336</v>
      </c>
      <c r="E30" s="42" t="n">
        <f aca="false">PnL!Q22</f>
        <v>52.616091817941</v>
      </c>
      <c r="F30" s="22" t="n">
        <f aca="false">IF(ISNUMBER(C30),E30-C30,"")</f>
        <v>0</v>
      </c>
      <c r="G30" s="7"/>
    </row>
    <row r="31" customFormat="false" ht="15" hidden="false" customHeight="true" outlineLevel="0" collapsed="false">
      <c r="A31" s="8" t="s">
        <v>329</v>
      </c>
      <c r="B31" s="7" t="s">
        <v>330</v>
      </c>
      <c r="C31" s="41" t="n">
        <v>31.0426040928447</v>
      </c>
      <c r="D31" s="41" t="n">
        <v>31.0473691657486</v>
      </c>
      <c r="E31" s="42" t="n">
        <f aca="false">MAX(PnL!C24:N24)</f>
        <v>31.0426040928447</v>
      </c>
      <c r="F31" s="22" t="n">
        <f aca="false">IF(ISNUMBER(C31),E31-C31,"")</f>
        <v>0</v>
      </c>
      <c r="G31" s="7" t="s">
        <v>331</v>
      </c>
    </row>
    <row r="32" customFormat="false" ht="15" hidden="false" customHeight="true" outlineLevel="0" collapsed="false">
      <c r="A32" s="8" t="s">
        <v>332</v>
      </c>
      <c r="B32" s="7" t="s">
        <v>330</v>
      </c>
      <c r="C32" s="41" t="n">
        <v>21.2113248291072</v>
      </c>
      <c r="D32" s="41" t="n">
        <v>19.5518639657936</v>
      </c>
      <c r="E32" s="42" t="n">
        <f aca="false">PnL!J24</f>
        <v>21.2113248291072</v>
      </c>
      <c r="F32" s="22" t="n">
        <f aca="false">IF(ISNUMBER(C32),E32-C32,"")</f>
        <v>0</v>
      </c>
      <c r="G32" s="7"/>
    </row>
    <row r="33" customFormat="false" ht="15" hidden="false" customHeight="true" outlineLevel="0" collapsed="false">
      <c r="A33" s="8" t="s">
        <v>333</v>
      </c>
      <c r="B33" s="7" t="s">
        <v>334</v>
      </c>
      <c r="C33" s="43" t="n">
        <v>0.27015791372864</v>
      </c>
      <c r="D33" s="43" t="n">
        <v>0.257485469234327</v>
      </c>
      <c r="E33" s="44" t="n">
        <f aca="false">PnL!Q25</f>
        <v>0.27015791372864</v>
      </c>
      <c r="F33" s="15" t="n">
        <f aca="false">IF(ISNUMBER(C33),E33-C33,"")</f>
        <v>0</v>
      </c>
      <c r="G33" s="7"/>
    </row>
    <row r="34" customFormat="false" ht="15" hidden="false" customHeight="true" outlineLevel="0" collapsed="false">
      <c r="A34" s="8" t="s">
        <v>335</v>
      </c>
      <c r="B34" s="7" t="s">
        <v>336</v>
      </c>
      <c r="C34" s="41" t="n">
        <v>8.01876134310437</v>
      </c>
      <c r="D34" s="41" t="n">
        <v>6.79724345436318</v>
      </c>
      <c r="E34" s="42" t="n">
        <f aca="false">Investment!L29</f>
        <v>8.01876134310437</v>
      </c>
      <c r="F34" s="22" t="n">
        <f aca="false">IF(ISNUMBER(C34),E34-C34,"")</f>
        <v>0</v>
      </c>
      <c r="G34"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15.75" hidden="false" customHeight="true" outlineLevel="0" collapsed="false">
      <c r="A1" s="2" t="s">
        <v>337</v>
      </c>
    </row>
    <row r="2" customFormat="false" ht="15" hidden="false" customHeight="true" outlineLevel="0" collapsed="false">
      <c r="A2" s="5" t="s">
        <v>338</v>
      </c>
    </row>
    <row r="4" customFormat="false" ht="15" hidden="false" customHeight="true" outlineLevel="0" collapsed="false">
      <c r="A4" s="11" t="s">
        <v>339</v>
      </c>
      <c r="B4" s="12" t="s">
        <v>81</v>
      </c>
      <c r="C4" s="12" t="s">
        <v>340</v>
      </c>
      <c r="D4" s="12" t="s">
        <v>341</v>
      </c>
    </row>
    <row r="5" customFormat="false" ht="15" hidden="false" customHeight="true" outlineLevel="0" collapsed="false">
      <c r="A5" s="8" t="s">
        <v>342</v>
      </c>
      <c r="B5" s="45" t="n">
        <f aca="false">SUMPRODUCT(ABS(ARR_bridge!C13:N13))</f>
        <v>0</v>
      </c>
      <c r="C5" s="4" t="str">
        <f aca="false">IF(B5&lt;0.0001,"OK","ERROR")</f>
        <v>OK</v>
      </c>
      <c r="D5" s="7" t="s">
        <v>343</v>
      </c>
    </row>
    <row r="6" customFormat="false" ht="15" hidden="false" customHeight="true" outlineLevel="0" collapsed="false">
      <c r="A6" s="8" t="s">
        <v>344</v>
      </c>
      <c r="B6" s="46" t="n">
        <f aca="false">SUMPRODUCT(--ISERROR(Capacity!C5:Q40))+SUMPRODUCT(--ISERROR(Bookings!C5:Q30))+SUMPRODUCT(--ISERROR(ARR_bridge!C5:Q30))+SUMPRODUCT(--ISERROR(PnL!C5:Q30))+SUMPRODUCT(--ISERROR(Channel!O5:Q30))</f>
        <v>0</v>
      </c>
      <c r="C6" s="4" t="str">
        <f aca="false">IF(B6=0,"OK","ERROR")</f>
        <v>OK</v>
      </c>
      <c r="D6" s="7"/>
    </row>
    <row r="7" customFormat="false" ht="15" hidden="false" customHeight="true" outlineLevel="0" collapsed="false">
      <c r="A7" s="8" t="s">
        <v>345</v>
      </c>
      <c r="B7" s="47" t="n">
        <f aca="false">ABS(SUM(ARR_bridge!O17:Q17)-SUM(Bookings!O14:Q14)-SUM(Channel!O12:Q12))</f>
        <v>0</v>
      </c>
      <c r="C7" s="4" t="str">
        <f aca="false">IF(B7&lt;0.0001,"OK","ERROR")</f>
        <v>OK</v>
      </c>
      <c r="D7" s="7" t="s">
        <v>346</v>
      </c>
    </row>
    <row r="8" customFormat="false" ht="15" hidden="false" customHeight="true" outlineLevel="0" collapsed="false">
      <c r="A8" s="8" t="s">
        <v>347</v>
      </c>
      <c r="B8" s="41" t="n">
        <f aca="false">Investment!J20</f>
        <v>14.9508</v>
      </c>
      <c r="C8" s="4" t="str">
        <f aca="false">IF(B8&lt;=Investment!J21+0.0001,"OK","OVER")</f>
        <v>OK</v>
      </c>
      <c r="D8" s="7" t="s">
        <v>348</v>
      </c>
    </row>
    <row r="9" customFormat="false" ht="15" hidden="false" customHeight="true" outlineLevel="0" collapsed="false">
      <c r="A9" s="8" t="s">
        <v>349</v>
      </c>
      <c r="B9" s="43" t="n">
        <f aca="false">MIN(PnL!O15:Q15)</f>
        <v>0.675392963467749</v>
      </c>
      <c r="C9" s="4" t="str">
        <f aca="false">IF(B9&gt;=Assumptions!$B$98,"OK","BREACH")</f>
        <v>OK</v>
      </c>
      <c r="D9" s="7" t="s">
        <v>350</v>
      </c>
    </row>
    <row r="10" customFormat="false" ht="15" hidden="false" customHeight="true" outlineLevel="0" collapsed="false">
      <c r="A10" s="8" t="s">
        <v>351</v>
      </c>
      <c r="B10" s="48" t="n">
        <f aca="false">MAX(PnL!C24:N24)</f>
        <v>31.0426040928447</v>
      </c>
      <c r="C10" s="4" t="str">
        <f aca="false">IF(B10&lt;=Assumptions!$B$99,"OK","BREACH")</f>
        <v>BREACH</v>
      </c>
      <c r="D10" s="7" t="s">
        <v>352</v>
      </c>
    </row>
    <row r="11" customFormat="false" ht="15" hidden="false" customHeight="true" outlineLevel="0" collapsed="false">
      <c r="A11" s="8" t="s">
        <v>353</v>
      </c>
      <c r="B11" s="48" t="n">
        <f aca="false">PnL!J24</f>
        <v>21.2113248291072</v>
      </c>
      <c r="C11" s="4" t="str">
        <f aca="false">IF(B11&lt;=Assumptions!$B$100,"OK","BREACH")</f>
        <v>OK</v>
      </c>
      <c r="D11" s="7" t="s">
        <v>71</v>
      </c>
    </row>
    <row r="12" customFormat="false" ht="15" hidden="false" customHeight="true" outlineLevel="0" collapsed="false">
      <c r="A12" s="8" t="s">
        <v>354</v>
      </c>
      <c r="B12" s="43" t="n">
        <f aca="false">PnL!Q25</f>
        <v>0.27015791372864</v>
      </c>
      <c r="C12" s="4" t="str">
        <f aca="false">IF(B12&lt;=Assumptions!$B$101,"OK","BREACH")</f>
        <v>OK</v>
      </c>
      <c r="D12" s="7" t="s">
        <v>355</v>
      </c>
    </row>
    <row r="13" customFormat="false" ht="15" hidden="false" customHeight="true" outlineLevel="0" collapsed="false">
      <c r="A13" s="8" t="s">
        <v>356</v>
      </c>
      <c r="B13" s="46" t="n">
        <f aca="false">Capacity!F35</f>
        <v>6</v>
      </c>
      <c r="C13" s="4" t="str">
        <f aca="false">IF(B13&lt;=Assumptions!$B$102,"OK","OVER")</f>
        <v>OK</v>
      </c>
      <c r="D13" s="7" t="s">
        <v>357</v>
      </c>
    </row>
    <row r="14" customFormat="false" ht="15" hidden="false" customHeight="true" outlineLevel="0" collapsed="false">
      <c r="A14" s="8" t="s">
        <v>358</v>
      </c>
      <c r="B14" s="48" t="n">
        <f aca="false">Capacity!F30</f>
        <v>69.3731083551587</v>
      </c>
      <c r="C14" s="4" t="str">
        <f aca="false">IF(B14&lt;=76.0001,"OK","OVER")</f>
        <v>OK</v>
      </c>
      <c r="D14" s="7"/>
    </row>
    <row r="15" customFormat="false" ht="15" hidden="false" customHeight="true" outlineLevel="0" collapsed="false">
      <c r="A15" s="8" t="s">
        <v>359</v>
      </c>
      <c r="B15" s="46" t="n">
        <f aca="false">3</f>
        <v>3</v>
      </c>
      <c r="C15" s="4" t="str">
        <f aca="false">IF(B15&lt;=Assumptions!$B$103,"OK","OVER")</f>
        <v>OK</v>
      </c>
      <c r="D15" s="7" t="s">
        <v>360</v>
      </c>
    </row>
    <row r="16" customFormat="false" ht="15" hidden="false" customHeight="true" outlineLevel="0" collapsed="false">
      <c r="A16" s="8" t="s">
        <v>361</v>
      </c>
      <c r="B16" s="46" t="n">
        <f aca="false">SUMPRODUCT(--(Bookings!D11:N11&gt;Bookings!D9:N9+0.0001))</f>
        <v>0</v>
      </c>
      <c r="C16" s="4" t="str">
        <f aca="false">IF(B16=0,"OK","ERROR")</f>
        <v>OK</v>
      </c>
      <c r="D16" s="7" t="s">
        <v>362</v>
      </c>
    </row>
    <row r="17" customFormat="false" ht="15" hidden="false" customHeight="true" outlineLevel="0" collapsed="false">
      <c r="A17" s="8" t="s">
        <v>363</v>
      </c>
      <c r="B17" s="46" t="n">
        <f aca="false">SUMPRODUCT(--(Bookings!D11:N11&gt;Bookings!D10:N10+0.0001))</f>
        <v>0</v>
      </c>
      <c r="C17" s="4" t="str">
        <f aca="false">IF(B17=0,"OK","ERROR")</f>
        <v>OK</v>
      </c>
      <c r="D17" s="7"/>
    </row>
    <row r="18" customFormat="false" ht="15" hidden="false" customHeight="true" outlineLevel="0" collapsed="false">
      <c r="A18" s="8" t="s">
        <v>364</v>
      </c>
      <c r="B18" s="46" t="n">
        <f aca="false">SUMPRODUCT(--(Channel!O25:Q25&gt;Channel!O26:Q26+0.0001))</f>
        <v>0</v>
      </c>
      <c r="C18" s="4" t="str">
        <f aca="false">IF(B18=0,"OK","CHECK")</f>
        <v>OK</v>
      </c>
      <c r="D18" s="7"/>
    </row>
    <row r="19" customFormat="false" ht="15" hidden="false" customHeight="true" outlineLevel="0" collapsed="false">
      <c r="A19" s="8" t="s">
        <v>365</v>
      </c>
      <c r="B19" s="43" t="n">
        <f aca="false">ARR_bridge!O18</f>
        <v>0.132080405633509</v>
      </c>
      <c r="C19" s="4" t="str">
        <f aca="false">IF(B19&gt;=Assumptions!$B$94,"OK","SHORTFALL")</f>
        <v>SHORTFALL</v>
      </c>
      <c r="D19" s="7" t="s">
        <v>366</v>
      </c>
    </row>
    <row r="20" customFormat="false" ht="15" hidden="false" customHeight="true" outlineLevel="0" collapsed="false">
      <c r="A20" s="8" t="s">
        <v>367</v>
      </c>
      <c r="B20" s="43" t="n">
        <f aca="false">ARR_bridge!P18</f>
        <v>0.204401669916569</v>
      </c>
      <c r="C20" s="4" t="str">
        <f aca="false">IF(B20&gt;=Assumptions!$B$95,"OK","SHORTFALL")</f>
        <v>OK</v>
      </c>
      <c r="D20" s="7"/>
    </row>
    <row r="21" customFormat="false" ht="15" hidden="false" customHeight="true" outlineLevel="0" collapsed="false">
      <c r="A21" s="8" t="s">
        <v>368</v>
      </c>
      <c r="B21" s="43" t="n">
        <f aca="false">ARR_bridge!Q18</f>
        <v>0.24332936522873</v>
      </c>
      <c r="C21" s="4" t="str">
        <f aca="false">IF(B21&gt;=Assumptions!$B$96,"OK","SHORTFALL")</f>
        <v>OK</v>
      </c>
      <c r="D21" s="7"/>
    </row>
    <row r="22" customFormat="false" ht="15" hidden="false" customHeight="true" outlineLevel="0" collapsed="false">
      <c r="A22" s="8" t="s">
        <v>369</v>
      </c>
      <c r="B22" s="43" t="n">
        <f aca="false">ARR_bridge!Q21</f>
        <v>1.03762053620732</v>
      </c>
      <c r="C22" s="4" t="str">
        <f aca="false">IF(B22&gt;=Assumptions!$B$97,"OK","SHORTFALL")</f>
        <v>SHORTFALL</v>
      </c>
      <c r="D22" s="7"/>
    </row>
    <row r="23" customFormat="false" ht="15" hidden="false" customHeight="true" outlineLevel="0" collapsed="false">
      <c r="A23" s="8" t="s">
        <v>370</v>
      </c>
      <c r="B23" s="43" t="n">
        <f aca="false">Channel!Q13</f>
        <v>0.226682549038565</v>
      </c>
      <c r="C23" s="4" t="str">
        <f aca="false">IF(B23&gt;=0.25,"OK","SHORTFALL")</f>
        <v>SHORTFALL</v>
      </c>
      <c r="D23" s="7" t="s">
        <v>371</v>
      </c>
    </row>
    <row r="24" customFormat="false" ht="15" hidden="false" customHeight="true" outlineLevel="0" collapsed="false">
      <c r="A24" s="8" t="s">
        <v>372</v>
      </c>
      <c r="B24" s="41" t="n">
        <f aca="false">SUM(Channel!O12:Q12)</f>
        <v>33.26736</v>
      </c>
      <c r="C24" s="4" t="str">
        <f aca="false">IF(Assumptions!$C$5&lt;&gt;1,"n/a",IF(ABS(B24-33.268)&lt;0.01,"OK","DIFF"))</f>
        <v>OK</v>
      </c>
      <c r="D24" s="7" t="s">
        <v>373</v>
      </c>
    </row>
    <row r="25" customFormat="false" ht="15" hidden="false" customHeight="true" outlineLevel="0" collapsed="false">
      <c r="A25" s="8" t="s">
        <v>374</v>
      </c>
      <c r="B25" s="49" t="n">
        <f aca="false">ABS(Assumptions!B106)+ABS(Assumptions!B107)+ABS(Assumptions!B108)+ABS(Assumptions!B109)+ABS(Assumptions!B110)+ABS(1-Assumptions!B111)</f>
        <v>0</v>
      </c>
      <c r="C25" s="4" t="str">
        <f aca="false">IF(B25=0,"OK","SHIFTED")</f>
        <v>OK</v>
      </c>
      <c r="D25" s="7" t="s">
        <v>375</v>
      </c>
    </row>
    <row r="27" customFormat="false" ht="15" hidden="false" customHeight="true" outlineLevel="0" collapsed="false">
      <c r="A27" s="4" t="s">
        <v>376</v>
      </c>
      <c r="C27" s="9" t="n">
        <f aca="false">COUNTIF(C5:C25,"ERROR")+COUNTIF(C5:C25,"OVER")+COUNTIF(C5:C25,"BREACH")</f>
        <v>1</v>
      </c>
    </row>
    <row r="28" customFormat="false" ht="15" hidden="false" customHeight="true" outlineLevel="0" collapsed="false">
      <c r="A28" s="4" t="s">
        <v>377</v>
      </c>
      <c r="C28" s="9" t="n">
        <f aca="false">COUNTIF(C5:C25,"SHORTFALL")</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1"/>
    <col collapsed="false" customWidth="true" hidden="false" outlineLevel="0" max="17" min="3" style="1" width="9.52"/>
    <col collapsed="false" customWidth="true" hidden="false" outlineLevel="0" max="18" min="18" style="1" width="55"/>
  </cols>
  <sheetData>
    <row r="1" customFormat="false" ht="15.75" hidden="false" customHeight="true" outlineLevel="0" collapsed="false">
      <c r="A1" s="2" t="s">
        <v>378</v>
      </c>
    </row>
    <row r="2" customFormat="false" ht="15" hidden="false" customHeight="true" outlineLevel="0" collapsed="false">
      <c r="A2" s="5" t="s">
        <v>379</v>
      </c>
    </row>
    <row r="4" customFormat="false" ht="15" hidden="false" customHeight="true" outlineLevel="0" collapsed="false">
      <c r="A4" s="11" t="s">
        <v>380</v>
      </c>
      <c r="B4" s="12" t="s">
        <v>381</v>
      </c>
      <c r="C4" s="12" t="s">
        <v>13</v>
      </c>
      <c r="D4" s="12" t="s">
        <v>65</v>
      </c>
      <c r="E4" s="12" t="s">
        <v>66</v>
      </c>
      <c r="F4" s="12" t="s">
        <v>67</v>
      </c>
      <c r="G4" s="12" t="s">
        <v>68</v>
      </c>
      <c r="H4" s="12" t="s">
        <v>69</v>
      </c>
      <c r="I4" s="12" t="s">
        <v>70</v>
      </c>
      <c r="J4" s="12" t="s">
        <v>71</v>
      </c>
      <c r="K4" s="12" t="s">
        <v>72</v>
      </c>
      <c r="L4" s="12" t="s">
        <v>73</v>
      </c>
      <c r="M4" s="12" t="s">
        <v>74</v>
      </c>
      <c r="N4" s="12" t="s">
        <v>75</v>
      </c>
      <c r="O4" s="12" t="s">
        <v>31</v>
      </c>
      <c r="P4" s="12" t="s">
        <v>32</v>
      </c>
      <c r="Q4" s="12" t="s">
        <v>33</v>
      </c>
      <c r="R4" s="12" t="s">
        <v>382</v>
      </c>
    </row>
    <row r="5" customFormat="false" ht="15" hidden="false" customHeight="true" outlineLevel="0" collapsed="false">
      <c r="A5" s="8" t="s">
        <v>383</v>
      </c>
      <c r="C5" s="50" t="n">
        <f aca="false">Assumptions!C30</f>
        <v>0</v>
      </c>
      <c r="D5" s="50" t="n">
        <f aca="false">Assumptions!D30</f>
        <v>0</v>
      </c>
      <c r="E5" s="50" t="n">
        <f aca="false">Assumptions!E30</f>
        <v>6</v>
      </c>
      <c r="F5" s="50" t="n">
        <f aca="false">Assumptions!F30</f>
        <v>0</v>
      </c>
      <c r="G5" s="50" t="n">
        <f aca="false">Assumptions!G30</f>
        <v>4</v>
      </c>
      <c r="H5" s="50" t="n">
        <f aca="false">Assumptions!H30</f>
        <v>0</v>
      </c>
      <c r="I5" s="50" t="n">
        <f aca="false">Assumptions!I30</f>
        <v>4</v>
      </c>
      <c r="J5" s="50" t="n">
        <f aca="false">Assumptions!J30</f>
        <v>0</v>
      </c>
      <c r="K5" s="50" t="n">
        <f aca="false">Assumptions!K30</f>
        <v>4</v>
      </c>
      <c r="L5" s="50" t="n">
        <f aca="false">Assumptions!L30</f>
        <v>0</v>
      </c>
      <c r="M5" s="50" t="n">
        <f aca="false">Assumptions!M30</f>
        <v>2</v>
      </c>
      <c r="N5" s="50" t="n">
        <f aca="false">Assumptions!N30</f>
        <v>0</v>
      </c>
      <c r="O5" s="46" t="n">
        <f aca="false">SUM(C5:F5)</f>
        <v>6</v>
      </c>
      <c r="P5" s="46" t="n">
        <f aca="false">SUM(G5:J5)</f>
        <v>8</v>
      </c>
      <c r="Q5" s="46" t="n">
        <f aca="false">SUM(K5:N5)</f>
        <v>6</v>
      </c>
    </row>
    <row r="6" customFormat="false" ht="15" hidden="false" customHeight="true" outlineLevel="0" collapsed="false">
      <c r="A6" s="8" t="s">
        <v>384</v>
      </c>
      <c r="C6" s="48" t="n">
        <f aca="false">Assumptions!$B$47</f>
        <v>3.8</v>
      </c>
      <c r="D6" s="48" t="n">
        <f aca="false">C31</f>
        <v>3.9264</v>
      </c>
      <c r="E6" s="48" t="n">
        <f aca="false">D31</f>
        <v>4.0166793</v>
      </c>
      <c r="F6" s="48" t="n">
        <f aca="false">E31</f>
        <v>4.32954557085</v>
      </c>
      <c r="G6" s="48" t="n">
        <f aca="false">F31</f>
        <v>4.42689164484128</v>
      </c>
      <c r="H6" s="48" t="n">
        <f aca="false">G31</f>
        <v>4.25285431191569</v>
      </c>
      <c r="I6" s="48" t="n">
        <f aca="false">H31</f>
        <v>4.30825607371997</v>
      </c>
      <c r="J6" s="48" t="n">
        <f aca="false">I31</f>
        <v>4.48192593078433</v>
      </c>
      <c r="K6" s="48" t="n">
        <f aca="false">J31</f>
        <v>4.51856203777644</v>
      </c>
      <c r="L6" s="48" t="n">
        <f aca="false">K31</f>
        <v>4.25888917227814</v>
      </c>
      <c r="M6" s="48" t="n">
        <f aca="false">L31</f>
        <v>4.29575290272206</v>
      </c>
      <c r="N6" s="48" t="n">
        <f aca="false">M31</f>
        <v>4.36578867865971</v>
      </c>
    </row>
    <row r="7" customFormat="false" ht="15" hidden="false" customHeight="true" outlineLevel="0" collapsed="false">
      <c r="A7" s="8" t="s">
        <v>385</v>
      </c>
      <c r="C7" s="43" t="n">
        <f aca="false">(Assumptions!$B$14+(Assumptions!$O$14-Assumptions!$B$14)*Assumptions!$B$111)/4</f>
        <v>0.06</v>
      </c>
      <c r="D7" s="43" t="n">
        <f aca="false">(Assumptions!$B$14+(Assumptions!$O$14-Assumptions!$B$14)*Assumptions!$B$111)/4</f>
        <v>0.06</v>
      </c>
      <c r="E7" s="43" t="n">
        <f aca="false">(Assumptions!$B$14+(Assumptions!$O$14-Assumptions!$B$14)*Assumptions!$B$111)/4</f>
        <v>0.06</v>
      </c>
      <c r="F7" s="43" t="n">
        <f aca="false">(Assumptions!$B$14+(Assumptions!$O$14-Assumptions!$B$14)*Assumptions!$B$111)/4</f>
        <v>0.06</v>
      </c>
      <c r="G7" s="43" t="n">
        <f aca="false">(Assumptions!$B$14+(Assumptions!$P$14-Assumptions!$B$14)*Assumptions!$B$111)/4</f>
        <v>0.055</v>
      </c>
      <c r="H7" s="43" t="n">
        <f aca="false">(Assumptions!$B$14+(Assumptions!$P$14-Assumptions!$B$14)*Assumptions!$B$111)/4</f>
        <v>0.055</v>
      </c>
      <c r="I7" s="43" t="n">
        <f aca="false">(Assumptions!$B$14+(Assumptions!$P$14-Assumptions!$B$14)*Assumptions!$B$111)/4</f>
        <v>0.055</v>
      </c>
      <c r="J7" s="43" t="n">
        <f aca="false">(Assumptions!$B$14+(Assumptions!$P$14-Assumptions!$B$14)*Assumptions!$B$111)/4</f>
        <v>0.055</v>
      </c>
      <c r="K7" s="43" t="n">
        <f aca="false">(Assumptions!$B$14+(Assumptions!$Q$14-Assumptions!$B$14)*Assumptions!$B$111)/4</f>
        <v>0.05</v>
      </c>
      <c r="L7" s="43" t="n">
        <f aca="false">(Assumptions!$B$14+(Assumptions!$Q$14-Assumptions!$B$14)*Assumptions!$B$111)/4</f>
        <v>0.05</v>
      </c>
      <c r="M7" s="43" t="n">
        <f aca="false">(Assumptions!$B$14+(Assumptions!$Q$14-Assumptions!$B$14)*Assumptions!$B$111)/4</f>
        <v>0.05</v>
      </c>
      <c r="N7" s="43" t="n">
        <f aca="false">(Assumptions!$B$14+(Assumptions!$Q$14-Assumptions!$B$14)*Assumptions!$B$111)/4</f>
        <v>0.05</v>
      </c>
    </row>
    <row r="9" customFormat="false" ht="15" hidden="false" customHeight="true" outlineLevel="0" collapsed="false">
      <c r="A9" s="51" t="s">
        <v>386</v>
      </c>
    </row>
    <row r="10" customFormat="false" ht="15" hidden="false" customHeight="true" outlineLevel="0" collapsed="false">
      <c r="A10" s="8" t="s">
        <v>387</v>
      </c>
      <c r="C10" s="48" t="n">
        <f aca="false">B13+C5+C6</f>
        <v>12.8</v>
      </c>
      <c r="D10" s="48" t="n">
        <f aca="false">C13+D5+D6</f>
        <v>10.0192</v>
      </c>
      <c r="E10" s="48" t="n">
        <f aca="false">D13+E5+E6</f>
        <v>14.7858185</v>
      </c>
      <c r="F10" s="48" t="n">
        <f aca="false">E13+F5+F6</f>
        <v>11.36759517685</v>
      </c>
      <c r="G10" s="48" t="n">
        <f aca="false">F13+G5+G6</f>
        <v>13.8378669490219</v>
      </c>
      <c r="H10" s="48" t="n">
        <f aca="false">G13+H5+H6</f>
        <v>10.8673547135482</v>
      </c>
      <c r="I10" s="48" t="n">
        <f aca="false">H13+I5+I6</f>
        <v>13.502851626796</v>
      </c>
      <c r="J10" s="48" t="n">
        <f aca="false">I13+J5+J6</f>
        <v>10.9362890083928</v>
      </c>
      <c r="K10" s="48" t="n">
        <f aca="false">J13+K5+K6</f>
        <v>13.7461081837882</v>
      </c>
      <c r="L10" s="48" t="n">
        <f aca="false">K13+L5+L6</f>
        <v>10.8570211004965</v>
      </c>
      <c r="M10" s="48" t="n">
        <f aca="false">L13+M5+M6</f>
        <v>11.5071230309604</v>
      </c>
      <c r="N10" s="48" t="n">
        <f aca="false">M13+N5+N6</f>
        <v>9.88920773352069</v>
      </c>
    </row>
    <row r="11" customFormat="false" ht="15" hidden="false" customHeight="true" outlineLevel="0" collapsed="false">
      <c r="A11" s="8" t="s">
        <v>388</v>
      </c>
      <c r="C11" s="48" t="n">
        <f aca="false">C10*C7*Assumptions!$B$39</f>
        <v>0.6144</v>
      </c>
      <c r="D11" s="48" t="n">
        <f aca="false">D10*D7*Assumptions!$B$39</f>
        <v>0.4809216</v>
      </c>
      <c r="E11" s="48" t="n">
        <f aca="false">E10*E7*Assumptions!$B$39</f>
        <v>0.709719288</v>
      </c>
      <c r="F11" s="48" t="n">
        <f aca="false">F10*F7*Assumptions!$B$39</f>
        <v>0.5456445684888</v>
      </c>
      <c r="G11" s="48" t="n">
        <f aca="false">G10*G7*Assumptions!$B$39</f>
        <v>0.608866145756963</v>
      </c>
      <c r="H11" s="48" t="n">
        <f aca="false">H10*H7*Assumptions!$B$39</f>
        <v>0.478163607396119</v>
      </c>
      <c r="I11" s="48" t="n">
        <f aca="false">I10*I7*Assumptions!$B$39</f>
        <v>0.594125471579023</v>
      </c>
      <c r="J11" s="48" t="n">
        <f aca="false">J10*J7*Assumptions!$B$39</f>
        <v>0.481196716369284</v>
      </c>
      <c r="K11" s="48" t="n">
        <f aca="false">K10*K7*Assumptions!$B$39</f>
        <v>0.549844327351528</v>
      </c>
      <c r="L11" s="48" t="n">
        <f aca="false">L10*L7*Assumptions!$B$39</f>
        <v>0.434280844019859</v>
      </c>
      <c r="M11" s="48" t="n">
        <f aca="false">M10*M7*Assumptions!$B$39</f>
        <v>0.460284921238415</v>
      </c>
      <c r="N11" s="48" t="n">
        <f aca="false">N10*N7*Assumptions!$B$39</f>
        <v>0.395568309340828</v>
      </c>
    </row>
    <row r="12" customFormat="false" ht="15" hidden="false" customHeight="true" outlineLevel="0" collapsed="false">
      <c r="A12" s="8" t="s">
        <v>389</v>
      </c>
      <c r="C12" s="48" t="n">
        <f aca="false">(C10-C11)*0.5</f>
        <v>6.0928</v>
      </c>
      <c r="D12" s="48" t="n">
        <f aca="false">(D10-D11)*0.5</f>
        <v>4.7691392</v>
      </c>
      <c r="E12" s="48" t="n">
        <f aca="false">(E10-E11)*0.5</f>
        <v>7.038049606</v>
      </c>
      <c r="F12" s="48" t="n">
        <f aca="false">(F10-F11)*0.5</f>
        <v>5.4109753041806</v>
      </c>
      <c r="G12" s="48" t="n">
        <f aca="false">(G10-G11)*0.5</f>
        <v>6.61450040163246</v>
      </c>
      <c r="H12" s="48" t="n">
        <f aca="false">(H10-H11)*0.5</f>
        <v>5.19459555307602</v>
      </c>
      <c r="I12" s="48" t="n">
        <f aca="false">(I10-I11)*0.5</f>
        <v>6.45436307760848</v>
      </c>
      <c r="J12" s="48" t="n">
        <f aca="false">(J10-J11)*0.5</f>
        <v>5.22754614601176</v>
      </c>
      <c r="K12" s="48" t="n">
        <f aca="false">(K10-K11)*0.5</f>
        <v>6.59813192821834</v>
      </c>
      <c r="L12" s="48" t="n">
        <f aca="false">(L10-L11)*0.5</f>
        <v>5.21137012823831</v>
      </c>
      <c r="M12" s="48" t="n">
        <f aca="false">(M10-M11)*0.5</f>
        <v>5.52341905486098</v>
      </c>
      <c r="N12" s="48" t="n">
        <f aca="false">(N10-N11)*0.5</f>
        <v>4.74681971208993</v>
      </c>
    </row>
    <row r="13" customFormat="false" ht="15" hidden="false" customHeight="true" outlineLevel="0" collapsed="false">
      <c r="A13" s="8" t="s">
        <v>390</v>
      </c>
      <c r="B13" s="52" t="n">
        <f aca="false">Assumptions!$B$43</f>
        <v>9</v>
      </c>
      <c r="C13" s="48" t="n">
        <f aca="false">C10-C11-C12</f>
        <v>6.0928</v>
      </c>
      <c r="D13" s="48" t="n">
        <f aca="false">D10-D11-D12</f>
        <v>4.7691392</v>
      </c>
      <c r="E13" s="48" t="n">
        <f aca="false">E10-E11-E12</f>
        <v>7.038049606</v>
      </c>
      <c r="F13" s="48" t="n">
        <f aca="false">F10-F11-F12</f>
        <v>5.4109753041806</v>
      </c>
      <c r="G13" s="48" t="n">
        <f aca="false">G10-G11-G12</f>
        <v>6.61450040163246</v>
      </c>
      <c r="H13" s="48" t="n">
        <f aca="false">H10-H11-H12</f>
        <v>5.19459555307602</v>
      </c>
      <c r="I13" s="48" t="n">
        <f aca="false">I10-I11-I12</f>
        <v>6.45436307760848</v>
      </c>
      <c r="J13" s="48" t="n">
        <f aca="false">J10-J11-J12</f>
        <v>5.22754614601176</v>
      </c>
      <c r="K13" s="48" t="n">
        <f aca="false">K10-K11-K12</f>
        <v>6.59813192821834</v>
      </c>
      <c r="L13" s="48" t="n">
        <f aca="false">L10-L11-L12</f>
        <v>5.21137012823831</v>
      </c>
      <c r="M13" s="48" t="n">
        <f aca="false">M10-M11-M12</f>
        <v>5.52341905486098</v>
      </c>
      <c r="N13" s="48" t="n">
        <f aca="false">N10-N11-N12</f>
        <v>4.74681971208993</v>
      </c>
    </row>
    <row r="14" customFormat="false" ht="15" hidden="false" customHeight="true" outlineLevel="0" collapsed="false">
      <c r="A14" s="51" t="s">
        <v>391</v>
      </c>
    </row>
    <row r="15" customFormat="false" ht="15" hidden="false" customHeight="true" outlineLevel="0" collapsed="false">
      <c r="A15" s="8" t="s">
        <v>387</v>
      </c>
      <c r="C15" s="48" t="n">
        <f aca="false">B18</f>
        <v>8</v>
      </c>
      <c r="D15" s="48" t="n">
        <f aca="false">C18</f>
        <v>9.7568</v>
      </c>
      <c r="E15" s="48" t="n">
        <f aca="false">D18</f>
        <v>9.2377536</v>
      </c>
      <c r="F15" s="48" t="n">
        <f aca="false">E18</f>
        <v>11.2689407548</v>
      </c>
      <c r="G15" s="48" t="n">
        <f aca="false">F18</f>
        <v>10.572150169879</v>
      </c>
      <c r="H15" s="48" t="n">
        <f aca="false">G18</f>
        <v>11.4935477050316</v>
      </c>
      <c r="I15" s="48" t="n">
        <f aca="false">H18</f>
        <v>10.4988678189481</v>
      </c>
      <c r="J15" s="48" t="n">
        <f aca="false">I18</f>
        <v>11.299590576053</v>
      </c>
      <c r="K15" s="48" t="n">
        <f aca="false">J18</f>
        <v>10.4423071968602</v>
      </c>
      <c r="L15" s="48" t="n">
        <f aca="false">K18</f>
        <v>11.4538047747584</v>
      </c>
      <c r="M15" s="48" t="n">
        <f aca="false">L18</f>
        <v>10.5373893485009</v>
      </c>
      <c r="N15" s="48" t="n">
        <f aca="false">M18</f>
        <v>10.4233051019139</v>
      </c>
    </row>
    <row r="16" customFormat="false" ht="15" hidden="false" customHeight="true" outlineLevel="0" collapsed="false">
      <c r="A16" s="8" t="s">
        <v>388</v>
      </c>
      <c r="C16" s="48" t="n">
        <f aca="false">C15*C7*Assumptions!$B$40</f>
        <v>0.672</v>
      </c>
      <c r="D16" s="48" t="n">
        <f aca="false">D15*D7*Assumptions!$B$40</f>
        <v>0.8195712</v>
      </c>
      <c r="E16" s="48" t="n">
        <f aca="false">E15*E7*Assumptions!$B$40</f>
        <v>0.7759713024</v>
      </c>
      <c r="F16" s="48" t="n">
        <f aca="false">F15*F7*Assumptions!$B$40</f>
        <v>0.9465910234032</v>
      </c>
      <c r="G16" s="48" t="n">
        <f aca="false">G15*G7*Assumptions!$B$40</f>
        <v>0.814055563080683</v>
      </c>
      <c r="H16" s="48" t="n">
        <f aca="false">H15*H7*Assumptions!$B$40</f>
        <v>0.885003173287434</v>
      </c>
      <c r="I16" s="48" t="n">
        <f aca="false">I15*I7*Assumptions!$B$40</f>
        <v>0.808412822059004</v>
      </c>
      <c r="J16" s="48" t="n">
        <f aca="false">J15*J7*Assumptions!$B$40</f>
        <v>0.870068474356083</v>
      </c>
      <c r="K16" s="48" t="n">
        <f aca="false">K15*K7*Assumptions!$B$40</f>
        <v>0.730961503780217</v>
      </c>
      <c r="L16" s="48" t="n">
        <f aca="false">L15*L7*Assumptions!$B$40</f>
        <v>0.801766334233084</v>
      </c>
      <c r="M16" s="48" t="n">
        <f aca="false">M15*M7*Assumptions!$B$40</f>
        <v>0.737617254395066</v>
      </c>
      <c r="N16" s="48" t="n">
        <f aca="false">N15*N7*Assumptions!$B$40</f>
        <v>0.729631357133974</v>
      </c>
    </row>
    <row r="17" customFormat="false" ht="15" hidden="false" customHeight="true" outlineLevel="0" collapsed="false">
      <c r="A17" s="8" t="s">
        <v>389</v>
      </c>
      <c r="C17" s="48" t="n">
        <f aca="false">(C15-C16)*0.5</f>
        <v>3.664</v>
      </c>
      <c r="D17" s="48" t="n">
        <f aca="false">(D15-D16)*0.5</f>
        <v>4.4686144</v>
      </c>
      <c r="E17" s="48" t="n">
        <f aca="false">(E15-E16)*0.5</f>
        <v>4.2308911488</v>
      </c>
      <c r="F17" s="48" t="n">
        <f aca="false">(F15-F16)*0.5</f>
        <v>5.1611748656984</v>
      </c>
      <c r="G17" s="48" t="n">
        <f aca="false">(G15-G16)*0.5</f>
        <v>4.87904730339916</v>
      </c>
      <c r="H17" s="48" t="n">
        <f aca="false">(H15-H16)*0.5</f>
        <v>5.30427226587209</v>
      </c>
      <c r="I17" s="48" t="n">
        <f aca="false">(I15-I16)*0.5</f>
        <v>4.84522749844455</v>
      </c>
      <c r="J17" s="48" t="n">
        <f aca="false">(J15-J16)*0.5</f>
        <v>5.21476105084847</v>
      </c>
      <c r="K17" s="48" t="n">
        <f aca="false">(K15-K16)*0.5</f>
        <v>4.85567284654001</v>
      </c>
      <c r="L17" s="48" t="n">
        <f aca="false">(L15-L16)*0.5</f>
        <v>5.32601922026263</v>
      </c>
      <c r="M17" s="48" t="n">
        <f aca="false">(M15-M16)*0.5</f>
        <v>4.89988604705294</v>
      </c>
      <c r="N17" s="48" t="n">
        <f aca="false">(N15-N16)*0.5</f>
        <v>4.84683687238997</v>
      </c>
    </row>
    <row r="18" customFormat="false" ht="15" hidden="false" customHeight="true" outlineLevel="0" collapsed="false">
      <c r="A18" s="8" t="s">
        <v>390</v>
      </c>
      <c r="B18" s="52" t="n">
        <f aca="false">Assumptions!$B$44</f>
        <v>8</v>
      </c>
      <c r="C18" s="48" t="n">
        <f aca="false">C15-C16-C17+C12</f>
        <v>9.7568</v>
      </c>
      <c r="D18" s="48" t="n">
        <f aca="false">D15-D16-D17+D12</f>
        <v>9.2377536</v>
      </c>
      <c r="E18" s="48" t="n">
        <f aca="false">E15-E16-E17+E12</f>
        <v>11.2689407548</v>
      </c>
      <c r="F18" s="48" t="n">
        <f aca="false">F15-F16-F17+F12</f>
        <v>10.572150169879</v>
      </c>
      <c r="G18" s="48" t="n">
        <f aca="false">G15-G16-G17+G12</f>
        <v>11.4935477050316</v>
      </c>
      <c r="H18" s="48" t="n">
        <f aca="false">H15-H16-H17+H12</f>
        <v>10.4988678189481</v>
      </c>
      <c r="I18" s="48" t="n">
        <f aca="false">I15-I16-I17+I12</f>
        <v>11.299590576053</v>
      </c>
      <c r="J18" s="48" t="n">
        <f aca="false">J15-J16-J17+J12</f>
        <v>10.4423071968602</v>
      </c>
      <c r="K18" s="48" t="n">
        <f aca="false">K15-K16-K17+K12</f>
        <v>11.4538047747584</v>
      </c>
      <c r="L18" s="48" t="n">
        <f aca="false">L15-L16-L17+L12</f>
        <v>10.5373893485009</v>
      </c>
      <c r="M18" s="48" t="n">
        <f aca="false">M15-M16-M17+M12</f>
        <v>10.4233051019139</v>
      </c>
      <c r="N18" s="48" t="n">
        <f aca="false">N15-N16-N17+N12</f>
        <v>9.5936565844799</v>
      </c>
    </row>
    <row r="19" customFormat="false" ht="15" hidden="false" customHeight="true" outlineLevel="0" collapsed="false">
      <c r="A19" s="51" t="s">
        <v>392</v>
      </c>
    </row>
    <row r="20" customFormat="false" ht="15" hidden="false" customHeight="true" outlineLevel="0" collapsed="false">
      <c r="A20" s="8" t="s">
        <v>387</v>
      </c>
      <c r="C20" s="48" t="n">
        <f aca="false">B23</f>
        <v>9</v>
      </c>
      <c r="D20" s="48" t="n">
        <f aca="false">C23</f>
        <v>9.8875</v>
      </c>
      <c r="E20" s="48" t="n">
        <f aca="false">D23</f>
        <v>11.30582065</v>
      </c>
      <c r="F20" s="48" t="n">
        <f aca="false">E23</f>
        <v>12.048866128275</v>
      </c>
      <c r="G20" s="48" t="n">
        <f aca="false">F23</f>
        <v>13.4929657934006</v>
      </c>
      <c r="H20" s="48" t="n">
        <f aca="false">G23</f>
        <v>14.2752113577785</v>
      </c>
      <c r="I20" s="48" t="n">
        <f aca="false">H23</f>
        <v>15.2451725751451</v>
      </c>
      <c r="J20" s="48" t="n">
        <f aca="false">I23</f>
        <v>15.4615845504612</v>
      </c>
      <c r="K20" s="48" t="n">
        <f aca="false">J23</f>
        <v>15.9818219921759</v>
      </c>
      <c r="L20" s="48" t="n">
        <f aca="false">K23</f>
        <v>16.0629255185534</v>
      </c>
      <c r="M20" s="48" t="n">
        <f aca="false">L23</f>
        <v>16.5901457401482</v>
      </c>
      <c r="N20" s="48" t="n">
        <f aca="false">M23</f>
        <v>16.5337257473318</v>
      </c>
    </row>
    <row r="21" customFormat="false" ht="15" hidden="false" customHeight="true" outlineLevel="0" collapsed="false">
      <c r="A21" s="8" t="s">
        <v>388</v>
      </c>
      <c r="C21" s="48" t="n">
        <f aca="false">C20*C7*Assumptions!$B$41</f>
        <v>0.702</v>
      </c>
      <c r="D21" s="48" t="n">
        <f aca="false">D20*D7*Assumptions!$B$41</f>
        <v>0.771225</v>
      </c>
      <c r="E21" s="48" t="n">
        <f aca="false">E20*E7*Assumptions!$B$41</f>
        <v>0.8818540107</v>
      </c>
      <c r="F21" s="48" t="n">
        <f aca="false">F20*F7*Assumptions!$B$41</f>
        <v>0.93981155800545</v>
      </c>
      <c r="G21" s="48" t="n">
        <f aca="false">G20*G7*Assumptions!$B$41</f>
        <v>0.96474705422814</v>
      </c>
      <c r="H21" s="48" t="n">
        <f aca="false">H20*H7*Assumptions!$B$41</f>
        <v>1.02067761208116</v>
      </c>
      <c r="I21" s="48" t="n">
        <f aca="false">I20*I7*Assumptions!$B$41</f>
        <v>1.09002983912287</v>
      </c>
      <c r="J21" s="48" t="n">
        <f aca="false">J20*J7*Assumptions!$B$41</f>
        <v>1.10550329535798</v>
      </c>
      <c r="K21" s="48" t="n">
        <f aca="false">K20*K7*Assumptions!$B$41</f>
        <v>1.03881842949143</v>
      </c>
      <c r="L21" s="48" t="n">
        <f aca="false">L20*L7*Assumptions!$B$41</f>
        <v>1.04409015870597</v>
      </c>
      <c r="M21" s="48" t="n">
        <f aca="false">M20*M7*Assumptions!$B$41</f>
        <v>1.07835947310963</v>
      </c>
      <c r="N21" s="48" t="n">
        <f aca="false">N20*N7*Assumptions!$B$41</f>
        <v>1.07469217357657</v>
      </c>
    </row>
    <row r="22" customFormat="false" ht="15" hidden="false" customHeight="true" outlineLevel="0" collapsed="false">
      <c r="A22" s="8" t="s">
        <v>389</v>
      </c>
      <c r="C22" s="48" t="n">
        <f aca="false">(C20-C21)*0.25</f>
        <v>2.0745</v>
      </c>
      <c r="D22" s="48" t="n">
        <f aca="false">(D20-D21)*0.25</f>
        <v>2.27906875</v>
      </c>
      <c r="E22" s="48" t="n">
        <f aca="false">(E20-E21)*0.25</f>
        <v>2.605991659825</v>
      </c>
      <c r="F22" s="48" t="n">
        <f aca="false">(F20-F21)*0.25</f>
        <v>2.77726364256739</v>
      </c>
      <c r="G22" s="48" t="n">
        <f aca="false">(G20-G21)*0.25</f>
        <v>3.13205468479311</v>
      </c>
      <c r="H22" s="48" t="n">
        <f aca="false">(H20-H21)*0.25</f>
        <v>3.31363343642433</v>
      </c>
      <c r="I22" s="48" t="n">
        <f aca="false">(I20-I21)*0.25</f>
        <v>3.53878568400555</v>
      </c>
      <c r="J22" s="48" t="n">
        <f aca="false">(J20-J21)*0.25</f>
        <v>3.58902031377581</v>
      </c>
      <c r="K22" s="48" t="n">
        <f aca="false">(K20-K21)*0.25</f>
        <v>3.73575089067112</v>
      </c>
      <c r="L22" s="48" t="n">
        <f aca="false">(L20-L21)*0.25</f>
        <v>3.75470883996185</v>
      </c>
      <c r="M22" s="48" t="n">
        <f aca="false">(M20-M21)*0.25</f>
        <v>3.87794656675964</v>
      </c>
      <c r="N22" s="48" t="n">
        <f aca="false">(N20-N21)*0.25</f>
        <v>3.86475839343882</v>
      </c>
    </row>
    <row r="23" customFormat="false" ht="15" hidden="false" customHeight="true" outlineLevel="0" collapsed="false">
      <c r="A23" s="8" t="s">
        <v>390</v>
      </c>
      <c r="B23" s="52" t="n">
        <f aca="false">Assumptions!$B$45</f>
        <v>9</v>
      </c>
      <c r="C23" s="48" t="n">
        <f aca="false">C20-C21-C22+C17</f>
        <v>9.8875</v>
      </c>
      <c r="D23" s="48" t="n">
        <f aca="false">D20-D21-D22+D17</f>
        <v>11.30582065</v>
      </c>
      <c r="E23" s="48" t="n">
        <f aca="false">E20-E21-E22+E17</f>
        <v>12.048866128275</v>
      </c>
      <c r="F23" s="48" t="n">
        <f aca="false">F20-F21-F22+F17</f>
        <v>13.4929657934006</v>
      </c>
      <c r="G23" s="48" t="n">
        <f aca="false">G20-G21-G22+G17</f>
        <v>14.2752113577785</v>
      </c>
      <c r="H23" s="48" t="n">
        <f aca="false">H20-H21-H22+H17</f>
        <v>15.2451725751451</v>
      </c>
      <c r="I23" s="48" t="n">
        <f aca="false">I20-I21-I22+I17</f>
        <v>15.4615845504612</v>
      </c>
      <c r="J23" s="48" t="n">
        <f aca="false">J20-J21-J22+J17</f>
        <v>15.9818219921759</v>
      </c>
      <c r="K23" s="48" t="n">
        <f aca="false">K20-K21-K22+K17</f>
        <v>16.0629255185534</v>
      </c>
      <c r="L23" s="48" t="n">
        <f aca="false">L20-L21-L22+L17</f>
        <v>16.5901457401482</v>
      </c>
      <c r="M23" s="48" t="n">
        <f aca="false">M20-M21-M22+M17</f>
        <v>16.5337257473318</v>
      </c>
      <c r="N23" s="48" t="n">
        <f aca="false">N20-N21-N22+N17</f>
        <v>16.4411120527064</v>
      </c>
    </row>
    <row r="24" customFormat="false" ht="15" hidden="false" customHeight="true" outlineLevel="0" collapsed="false">
      <c r="A24" s="51" t="s">
        <v>393</v>
      </c>
    </row>
    <row r="25" customFormat="false" ht="15" hidden="false" customHeight="true" outlineLevel="0" collapsed="false">
      <c r="A25" s="8" t="s">
        <v>387</v>
      </c>
      <c r="C25" s="48" t="n">
        <f aca="false">B28</f>
        <v>38</v>
      </c>
      <c r="D25" s="48" t="n">
        <f aca="false">C28</f>
        <v>38.1365</v>
      </c>
      <c r="E25" s="48" t="n">
        <f aca="false">D28</f>
        <v>38.47060725</v>
      </c>
      <c r="F25" s="48" t="n">
        <f aca="false">E28</f>
        <v>39.114597940075</v>
      </c>
      <c r="G25" s="48" t="n">
        <f aca="false">F28</f>
        <v>39.8970170876986</v>
      </c>
      <c r="H25" s="48" t="n">
        <f aca="false">G28</f>
        <v>41.1638862236418</v>
      </c>
      <c r="I25" s="48" t="n">
        <f aca="false">H28</f>
        <v>42.5531079791108</v>
      </c>
      <c r="J25" s="48" t="n">
        <f aca="false">I28</f>
        <v>44.1025358650929</v>
      </c>
      <c r="K25" s="48" t="n">
        <f aca="false">J28</f>
        <v>45.6297626271757</v>
      </c>
      <c r="L25" s="48" t="n">
        <f aca="false">K28</f>
        <v>47.4262486061918</v>
      </c>
      <c r="M25" s="48" t="n">
        <f aca="false">L28</f>
        <v>49.1653418803905</v>
      </c>
      <c r="N25" s="48" t="n">
        <f aca="false">M28</f>
        <v>50.9537614172335</v>
      </c>
    </row>
    <row r="26" customFormat="false" ht="15" hidden="false" customHeight="true" outlineLevel="0" collapsed="false">
      <c r="A26" s="8" t="s">
        <v>388</v>
      </c>
      <c r="C26" s="48" t="n">
        <f aca="false">C25*C7*Assumptions!$B$42</f>
        <v>1.938</v>
      </c>
      <c r="D26" s="48" t="n">
        <f aca="false">D25*D7*Assumptions!$B$42</f>
        <v>1.9449615</v>
      </c>
      <c r="E26" s="48" t="n">
        <f aca="false">E25*E7*Assumptions!$B$42</f>
        <v>1.96200096975</v>
      </c>
      <c r="F26" s="48" t="n">
        <f aca="false">F25*F7*Assumptions!$B$42</f>
        <v>1.99484449494382</v>
      </c>
      <c r="G26" s="48" t="n">
        <f aca="false">G25*G7*Assumptions!$B$42</f>
        <v>1.86518554884991</v>
      </c>
      <c r="H26" s="48" t="n">
        <f aca="false">H25*H7*Assumptions!$B$42</f>
        <v>1.92441168095525</v>
      </c>
      <c r="I26" s="48" t="n">
        <f aca="false">I25*I7*Assumptions!$B$42</f>
        <v>1.98935779802343</v>
      </c>
      <c r="J26" s="48" t="n">
        <f aca="false">J25*J7*Assumptions!$B$42</f>
        <v>2.0617935516931</v>
      </c>
      <c r="K26" s="48" t="n">
        <f aca="false">K25*K7*Assumptions!$B$42</f>
        <v>1.93926491165497</v>
      </c>
      <c r="L26" s="48" t="n">
        <f aca="false">L25*L7*Assumptions!$B$42</f>
        <v>2.01561556576315</v>
      </c>
      <c r="M26" s="48" t="n">
        <f aca="false">M25*M7*Assumptions!$B$42</f>
        <v>2.0895270299166</v>
      </c>
      <c r="N26" s="48" t="n">
        <f aca="false">N25*N7*Assumptions!$B$42</f>
        <v>2.16553486023243</v>
      </c>
    </row>
    <row r="27" customFormat="false" ht="15" hidden="false" customHeight="true" outlineLevel="0" collapsed="false">
      <c r="A27" s="8" t="s">
        <v>389</v>
      </c>
      <c r="C27" s="48" t="n">
        <f aca="false">(C25-C26)*0</f>
        <v>0</v>
      </c>
      <c r="D27" s="48" t="n">
        <f aca="false">(D25-D26)*0</f>
        <v>0</v>
      </c>
      <c r="E27" s="48" t="n">
        <f aca="false">(E25-E26)*0</f>
        <v>0</v>
      </c>
      <c r="F27" s="48" t="n">
        <f aca="false">(F25-F26)*0</f>
        <v>0</v>
      </c>
      <c r="G27" s="48" t="n">
        <f aca="false">(G25-G26)*0</f>
        <v>0</v>
      </c>
      <c r="H27" s="48" t="n">
        <f aca="false">(H25-H26)*0</f>
        <v>0</v>
      </c>
      <c r="I27" s="48" t="n">
        <f aca="false">(I25-I26)*0</f>
        <v>0</v>
      </c>
      <c r="J27" s="48" t="n">
        <f aca="false">(J25-J26)*0</f>
        <v>0</v>
      </c>
      <c r="K27" s="48" t="n">
        <f aca="false">(K25-K26)*0</f>
        <v>0</v>
      </c>
      <c r="L27" s="48" t="n">
        <f aca="false">(L25-L26)*0</f>
        <v>0</v>
      </c>
      <c r="M27" s="48" t="n">
        <f aca="false">(M25-M26)*0</f>
        <v>0</v>
      </c>
      <c r="N27" s="48" t="n">
        <f aca="false">(N25-N26)*0</f>
        <v>0</v>
      </c>
    </row>
    <row r="28" customFormat="false" ht="15" hidden="false" customHeight="true" outlineLevel="0" collapsed="false">
      <c r="A28" s="8" t="s">
        <v>390</v>
      </c>
      <c r="B28" s="52" t="n">
        <f aca="false">Assumptions!$B$46</f>
        <v>38</v>
      </c>
      <c r="C28" s="48" t="n">
        <f aca="false">C25-C26-C27+C22</f>
        <v>38.1365</v>
      </c>
      <c r="D28" s="48" t="n">
        <f aca="false">D25-D26-D27+D22</f>
        <v>38.47060725</v>
      </c>
      <c r="E28" s="48" t="n">
        <f aca="false">E25-E26-E27+E22</f>
        <v>39.114597940075</v>
      </c>
      <c r="F28" s="48" t="n">
        <f aca="false">F25-F26-F27+F22</f>
        <v>39.8970170876986</v>
      </c>
      <c r="G28" s="48" t="n">
        <f aca="false">G25-G26-G27+G22</f>
        <v>41.1638862236418</v>
      </c>
      <c r="H28" s="48" t="n">
        <f aca="false">H25-H26-H27+H22</f>
        <v>42.5531079791108</v>
      </c>
      <c r="I28" s="48" t="n">
        <f aca="false">I25-I26-I27+I22</f>
        <v>44.1025358650929</v>
      </c>
      <c r="J28" s="48" t="n">
        <f aca="false">J25-J26-J27+J22</f>
        <v>45.6297626271757</v>
      </c>
      <c r="K28" s="48" t="n">
        <f aca="false">K25-K26-K27+K22</f>
        <v>47.4262486061918</v>
      </c>
      <c r="L28" s="48" t="n">
        <f aca="false">L25-L26-L27+L22</f>
        <v>49.1653418803905</v>
      </c>
      <c r="M28" s="48" t="n">
        <f aca="false">M25-M26-M27+M22</f>
        <v>50.9537614172335</v>
      </c>
      <c r="N28" s="48" t="n">
        <f aca="false">N25-N26-N27+N22</f>
        <v>52.6529849504399</v>
      </c>
    </row>
    <row r="30" customFormat="false" ht="15" hidden="false" customHeight="true" outlineLevel="0" collapsed="false">
      <c r="A30" s="4" t="s">
        <v>394</v>
      </c>
      <c r="B30" s="18" t="n">
        <f aca="false">SUM(B13,B18,B23,B28)</f>
        <v>64</v>
      </c>
      <c r="C30" s="18" t="n">
        <f aca="false">C13+C18+C23+C28</f>
        <v>63.8736</v>
      </c>
      <c r="D30" s="18" t="n">
        <f aca="false">D13+D18+D23+D28</f>
        <v>63.7833207</v>
      </c>
      <c r="E30" s="18" t="n">
        <f aca="false">E13+E18+E23+E28</f>
        <v>69.47045442915</v>
      </c>
      <c r="F30" s="18" t="n">
        <f aca="false">F13+F18+F23+F28</f>
        <v>69.3731083551587</v>
      </c>
      <c r="G30" s="18" t="n">
        <f aca="false">G13+G18+G23+G28</f>
        <v>73.5471456880843</v>
      </c>
      <c r="H30" s="18" t="n">
        <f aca="false">H13+H18+H23+H28</f>
        <v>73.49174392628</v>
      </c>
      <c r="I30" s="18" t="n">
        <f aca="false">I13+I18+I23+I28</f>
        <v>77.3180740692157</v>
      </c>
      <c r="J30" s="18" t="n">
        <f aca="false">J13+J18+J23+J28</f>
        <v>77.2814379622236</v>
      </c>
      <c r="K30" s="18" t="n">
        <f aca="false">K13+K18+K23+K28</f>
        <v>81.5411108277219</v>
      </c>
      <c r="L30" s="18" t="n">
        <f aca="false">L13+L18+L23+L28</f>
        <v>81.5042470972779</v>
      </c>
      <c r="M30" s="18" t="n">
        <f aca="false">M13+M18+M23+M28</f>
        <v>83.4342113213403</v>
      </c>
      <c r="N30" s="18" t="n">
        <f aca="false">N13+N18+N23+N28</f>
        <v>83.4345732997162</v>
      </c>
      <c r="O30" s="18" t="n">
        <f aca="false">F30</f>
        <v>69.3731083551587</v>
      </c>
      <c r="P30" s="18" t="n">
        <f aca="false">J30</f>
        <v>77.2814379622236</v>
      </c>
      <c r="Q30" s="18" t="n">
        <f aca="false">N30</f>
        <v>83.4345732997162</v>
      </c>
      <c r="R30" s="7" t="s">
        <v>395</v>
      </c>
    </row>
    <row r="31" customFormat="false" ht="15" hidden="false" customHeight="true" outlineLevel="0" collapsed="false">
      <c r="A31" s="8" t="s">
        <v>396</v>
      </c>
      <c r="C31" s="48" t="n">
        <f aca="false">C11+C16+C21+C26</f>
        <v>3.9264</v>
      </c>
      <c r="D31" s="48" t="n">
        <f aca="false">D11+D16+D21+D26</f>
        <v>4.0166793</v>
      </c>
      <c r="E31" s="48" t="n">
        <f aca="false">E11+E16+E21+E26</f>
        <v>4.32954557085</v>
      </c>
      <c r="F31" s="48" t="n">
        <f aca="false">F11+F16+F21+F26</f>
        <v>4.42689164484128</v>
      </c>
      <c r="G31" s="48" t="n">
        <f aca="false">G11+G16+G21+G26</f>
        <v>4.25285431191569</v>
      </c>
      <c r="H31" s="48" t="n">
        <f aca="false">H11+H16+H21+H26</f>
        <v>4.30825607371997</v>
      </c>
      <c r="I31" s="48" t="n">
        <f aca="false">I11+I16+I21+I26</f>
        <v>4.48192593078433</v>
      </c>
      <c r="J31" s="48" t="n">
        <f aca="false">J11+J16+J21+J26</f>
        <v>4.51856203777644</v>
      </c>
      <c r="K31" s="48" t="n">
        <f aca="false">K11+K16+K21+K26</f>
        <v>4.25888917227814</v>
      </c>
      <c r="L31" s="48" t="n">
        <f aca="false">L11+L16+L21+L26</f>
        <v>4.29575290272206</v>
      </c>
      <c r="M31" s="48" t="n">
        <f aca="false">M11+M16+M21+M26</f>
        <v>4.36578867865971</v>
      </c>
      <c r="N31" s="48" t="n">
        <f aca="false">N11+N16+N21+N26</f>
        <v>4.3654267002838</v>
      </c>
      <c r="O31" s="48" t="n">
        <f aca="false">SUM(C31:F31)</f>
        <v>16.6995165156913</v>
      </c>
      <c r="P31" s="48" t="n">
        <f aca="false">SUM(G31:J31)</f>
        <v>17.5615983541964</v>
      </c>
      <c r="Q31" s="48" t="n">
        <f aca="false">SUM(K31:N31)</f>
        <v>17.2858574539437</v>
      </c>
    </row>
    <row r="32" customFormat="false" ht="15" hidden="false" customHeight="true" outlineLevel="0" collapsed="false">
      <c r="A32" s="8" t="s">
        <v>397</v>
      </c>
      <c r="C32" s="49" t="n">
        <f aca="false">(C10-C11/2+C15-C16/2+C20-C21/2+C25-C26/2)/4</f>
        <v>16.4592</v>
      </c>
      <c r="D32" s="49" t="n">
        <f aca="false">(D10-D11/2+D15-D16/2+D20-D21/2+D25-D26/2)/4</f>
        <v>16.4479150875</v>
      </c>
      <c r="E32" s="49" t="n">
        <f aca="false">(E10-E11/2+E15-E16/2+E20-E21/2+E25-E26/2)/4</f>
        <v>17.9088068036438</v>
      </c>
      <c r="F32" s="49" t="n">
        <f aca="false">(F10-F11/2+F15-F16/2+F20-F21/2+F25-F26/2)/4</f>
        <v>17.8966385443948</v>
      </c>
      <c r="G32" s="49" t="n">
        <f aca="false">(G10-G11/2+G15-G16/2+G20-G21/2+G25-G26/2)/4</f>
        <v>18.9183932110105</v>
      </c>
      <c r="H32" s="49" t="n">
        <f aca="false">(H10-H11/2+H15-H16/2+H20-H21/2+H25-H26/2)/4</f>
        <v>18.911467990785</v>
      </c>
      <c r="I32" s="49" t="n">
        <f aca="false">(I10-I11/2+I15-I16/2+I20-I21/2+I25-I26/2)/4</f>
        <v>19.889759258652</v>
      </c>
      <c r="J32" s="49" t="n">
        <f aca="false">(J10-J11/2+J15-J16/2+J20-J21/2+J25-J26/2)/4</f>
        <v>19.8851797452779</v>
      </c>
      <c r="K32" s="49" t="n">
        <f aca="false">(K10-K11/2+K15-K16/2+K20-K21/2+K25-K26/2)/4</f>
        <v>20.9176388534652</v>
      </c>
      <c r="L32" s="49" t="n">
        <f aca="false">(L10-L11/2+L15-L16/2+L20-L21/2+L25-L26/2)/4</f>
        <v>20.9130308871597</v>
      </c>
      <c r="M32" s="49" t="n">
        <f aca="false">(M10-M11/2+M15-M16/2+M20-M21/2+M25-M26/2)/4</f>
        <v>21.4042764151675</v>
      </c>
      <c r="N32" s="49" t="n">
        <f aca="false">(N10-N11/2+N15-N16/2+N20-N21/2+N25-N26/2)/4</f>
        <v>21.4043216624645</v>
      </c>
      <c r="O32" s="49" t="n">
        <f aca="false">SUM(C32:F32)</f>
        <v>68.7125604355386</v>
      </c>
      <c r="P32" s="49" t="n">
        <f aca="false">SUM(G32:J32)</f>
        <v>77.6048002057254</v>
      </c>
      <c r="Q32" s="49" t="n">
        <f aca="false">SUM(K32:N32)</f>
        <v>84.639267818257</v>
      </c>
    </row>
    <row r="33" customFormat="false" ht="15" hidden="false" customHeight="true" outlineLevel="0" collapsed="false">
      <c r="A33" s="4" t="s">
        <v>398</v>
      </c>
      <c r="C33" s="18" t="n">
        <f aca="false">(C10-C11/2)*Assumptions!$B$35+(C15-C16/2)*Assumptions!$B$36+(C20-C21/2)*Assumptions!$B$37+(C25-C26/2)*Assumptions!$B$38</f>
        <v>45.26846</v>
      </c>
      <c r="D33" s="18" t="n">
        <f aca="false">(D10-D11/2)*Assumptions!$B$35+(D15-D16/2)*Assumptions!$B$36+(D20-D21/2)*Assumptions!$B$37+(D25-D26/2)*Assumptions!$B$38</f>
        <v>46.519779752</v>
      </c>
      <c r="E33" s="18" t="n">
        <f aca="false">(E10-E11/2)*Assumptions!$B$35+(E15-E16/2)*Assumptions!$B$36+(E20-E21/2)*Assumptions!$B$37+(E25-E26/2)*Assumptions!$B$38</f>
        <v>47.580859993698</v>
      </c>
      <c r="F33" s="18" t="n">
        <f aca="false">(F10-F11/2)*Assumptions!$B$35+(F15-F16/2)*Assumptions!$B$36+(F20-F21/2)*Assumptions!$B$37+(F25-F26/2)*Assumptions!$B$38</f>
        <v>49.3218524533453</v>
      </c>
      <c r="G33" s="18" t="n">
        <f aca="false">(G10-G11/2)*Assumptions!$B$35+(G15-G16/2)*Assumptions!$B$36+(G20-G21/2)*Assumptions!$B$37+(G25-G26/2)*Assumptions!$B$38</f>
        <v>50.9059055971744</v>
      </c>
      <c r="H33" s="18" t="n">
        <f aca="false">(H10-H11/2)*Assumptions!$B$35+(H15-H16/2)*Assumptions!$B$36+(H20-H21/2)*Assumptions!$B$37+(H25-H26/2)*Assumptions!$B$38</f>
        <v>52.9333414863792</v>
      </c>
      <c r="I33" s="18" t="n">
        <f aca="false">(I10-I11/2)*Assumptions!$B$35+(I15-I16/2)*Assumptions!$B$36+(I20-I21/2)*Assumptions!$B$37+(I25-I26/2)*Assumptions!$B$38</f>
        <v>54.5917713973975</v>
      </c>
      <c r="J33" s="18" t="n">
        <f aca="false">(J10-J11/2)*Assumptions!$B$35+(J15-J16/2)*Assumptions!$B$36+(J20-J21/2)*Assumptions!$B$37+(J25-J26/2)*Assumptions!$B$38</f>
        <v>56.4967723969114</v>
      </c>
      <c r="K33" s="18" t="n">
        <f aca="false">(K10-K11/2)*Assumptions!$B$35+(K15-K16/2)*Assumptions!$B$36+(K20-K21/2)*Assumptions!$B$37+(K25-K26/2)*Assumptions!$B$38</f>
        <v>58.1906753312922</v>
      </c>
      <c r="L33" s="18" t="n">
        <f aca="false">(L10-L11/2)*Assumptions!$B$35+(L15-L16/2)*Assumptions!$B$36+(L20-L21/2)*Assumptions!$B$37+(L25-L26/2)*Assumptions!$B$38</f>
        <v>60.3228860437043</v>
      </c>
      <c r="M33" s="18" t="n">
        <f aca="false">(M10-M11/2)*Assumptions!$B$35+(M15-M16/2)*Assumptions!$B$36+(M20-M21/2)*Assumptions!$B$37+(M25-M26/2)*Assumptions!$B$38</f>
        <v>62.069847565834</v>
      </c>
      <c r="N33" s="18" t="n">
        <f aca="false">(N10-N11/2)*Assumptions!$B$35+(N15-N16/2)*Assumptions!$B$36+(N20-N21/2)*Assumptions!$B$37+(N25-N26/2)*Assumptions!$B$38</f>
        <v>63.7479060727806</v>
      </c>
      <c r="O33" s="18" t="n">
        <f aca="false">AVERAGE(C33:F33)</f>
        <v>47.1727380497608</v>
      </c>
      <c r="P33" s="18" t="n">
        <f aca="false">AVERAGE(G33:J33)</f>
        <v>53.7319477194656</v>
      </c>
      <c r="Q33" s="18" t="n">
        <f aca="false">AVERAGE(K33:N33)</f>
        <v>61.0828287534028</v>
      </c>
      <c r="R33" s="7" t="s">
        <v>399</v>
      </c>
    </row>
    <row r="34" customFormat="false" ht="15" hidden="false" customHeight="true" outlineLevel="0" collapsed="false">
      <c r="A34" s="8" t="s">
        <v>400</v>
      </c>
      <c r="C34" s="43" t="n">
        <f aca="false">C31*4/(C30+C31)</f>
        <v>0.231646017699115</v>
      </c>
      <c r="D34" s="43" t="n">
        <f aca="false">D31*4/(D30+D31)</f>
        <v>0.236972230088496</v>
      </c>
      <c r="E34" s="43" t="n">
        <f aca="false">E31*4/(E30+E31)</f>
        <v>0.234663716577236</v>
      </c>
      <c r="F34" s="43" t="n">
        <f aca="false">F31*4/(F30+F31)</f>
        <v>0.239939926549663</v>
      </c>
      <c r="G34" s="43" t="n">
        <f aca="false">G31*4/(G30+G31)</f>
        <v>0.218655748684611</v>
      </c>
      <c r="H34" s="43" t="n">
        <f aca="false">H31*4/(H30+H31)</f>
        <v>0.221504168314651</v>
      </c>
      <c r="I34" s="43" t="n">
        <f aca="false">I31*4/(I30+I31)</f>
        <v>0.219165082189943</v>
      </c>
      <c r="J34" s="43" t="n">
        <f aca="false">J31*4/(J30+J31)</f>
        <v>0.220956578864374</v>
      </c>
      <c r="K34" s="43" t="n">
        <f aca="false">K31*4/(K30+K31)</f>
        <v>0.198549611761219</v>
      </c>
      <c r="L34" s="43" t="n">
        <f aca="false">L31*4/(L30+L31)</f>
        <v>0.200268200593103</v>
      </c>
      <c r="M34" s="43" t="n">
        <f aca="false">M31*4/(M30+M31)</f>
        <v>0.198896978526638</v>
      </c>
      <c r="N34" s="43" t="n">
        <f aca="false">N31*4/(N30+N31)</f>
        <v>0.198880487484456</v>
      </c>
    </row>
    <row r="35" customFormat="false" ht="15" hidden="false" customHeight="true" outlineLevel="0" collapsed="false">
      <c r="A35" s="8" t="s">
        <v>401</v>
      </c>
      <c r="C35" s="46" t="n">
        <f aca="false">SUM($C$5:C5)</f>
        <v>0</v>
      </c>
      <c r="D35" s="46" t="n">
        <f aca="false">SUM($C$5:D5)</f>
        <v>0</v>
      </c>
      <c r="E35" s="46" t="n">
        <f aca="false">SUM($C$5:E5)</f>
        <v>6</v>
      </c>
      <c r="F35" s="46" t="n">
        <f aca="false">SUM($C$5:F5)</f>
        <v>6</v>
      </c>
      <c r="G35" s="46" t="n">
        <f aca="false">SUM($C$5:G5)</f>
        <v>10</v>
      </c>
      <c r="H35" s="46" t="n">
        <f aca="false">SUM($C$5:H5)</f>
        <v>10</v>
      </c>
      <c r="I35" s="46" t="n">
        <f aca="false">SUM($C$5:I5)</f>
        <v>14</v>
      </c>
      <c r="J35" s="46" t="n">
        <f aca="false">SUM($C$5:J5)</f>
        <v>14</v>
      </c>
      <c r="K35" s="46" t="n">
        <f aca="false">SUM($C$5:K5)</f>
        <v>18</v>
      </c>
      <c r="L35" s="46" t="n">
        <f aca="false">SUM($C$5:L5)</f>
        <v>18</v>
      </c>
      <c r="M35" s="46" t="n">
        <f aca="false">SUM($C$5:M5)</f>
        <v>20</v>
      </c>
      <c r="N35" s="46" t="n">
        <f aca="false">SUM($C$5:N5)</f>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1"/>
    <col collapsed="false" customWidth="true" hidden="false" outlineLevel="0" max="17" min="3" style="1" width="9.52"/>
    <col collapsed="false" customWidth="true" hidden="false" outlineLevel="0" max="18" min="18" style="1" width="55"/>
  </cols>
  <sheetData>
    <row r="1" customFormat="false" ht="15.75" hidden="false" customHeight="true" outlineLevel="0" collapsed="false">
      <c r="A1" s="2" t="s">
        <v>402</v>
      </c>
    </row>
    <row r="2" customFormat="false" ht="15" hidden="false" customHeight="true" outlineLevel="0" collapsed="false">
      <c r="A2" s="5" t="s">
        <v>403</v>
      </c>
    </row>
    <row r="4" customFormat="false" ht="15" hidden="false" customHeight="true" outlineLevel="0" collapsed="false">
      <c r="A4" s="11" t="s">
        <v>380</v>
      </c>
      <c r="B4" s="12" t="s">
        <v>381</v>
      </c>
      <c r="C4" s="12" t="s">
        <v>13</v>
      </c>
      <c r="D4" s="12" t="s">
        <v>65</v>
      </c>
      <c r="E4" s="12" t="s">
        <v>66</v>
      </c>
      <c r="F4" s="12" t="s">
        <v>67</v>
      </c>
      <c r="G4" s="12" t="s">
        <v>68</v>
      </c>
      <c r="H4" s="12" t="s">
        <v>69</v>
      </c>
      <c r="I4" s="12" t="s">
        <v>70</v>
      </c>
      <c r="J4" s="12" t="s">
        <v>71</v>
      </c>
      <c r="K4" s="12" t="s">
        <v>72</v>
      </c>
      <c r="L4" s="12" t="s">
        <v>73</v>
      </c>
      <c r="M4" s="12" t="s">
        <v>74</v>
      </c>
      <c r="N4" s="12" t="s">
        <v>75</v>
      </c>
      <c r="O4" s="12" t="s">
        <v>31</v>
      </c>
      <c r="P4" s="12" t="s">
        <v>32</v>
      </c>
      <c r="Q4" s="12" t="s">
        <v>33</v>
      </c>
      <c r="R4" s="12" t="s">
        <v>382</v>
      </c>
    </row>
    <row r="5" customFormat="false" ht="15" hidden="false" customHeight="true" outlineLevel="0" collapsed="false">
      <c r="A5" s="8" t="s">
        <v>404</v>
      </c>
      <c r="C5" s="43" t="n">
        <f aca="false">MAX(0.01,(Assumptions!$B$9+((Assumptions!$B$9+(Assumptions!$O$9-Assumptions!$B$9)*Assumptions!$B$111)-Assumptions!$B$9)*1/4)+Assumptions!$B$106/100+Assumptions!$B$86*Assumptions!$B$108/100*100/100)</f>
        <v>0.177</v>
      </c>
      <c r="D5" s="43" t="n">
        <f aca="false">MAX(0.01,(Assumptions!$B$9+((Assumptions!$B$9+(Assumptions!$O$9-Assumptions!$B$9)*Assumptions!$B$111)-Assumptions!$B$9)*2/4)+Assumptions!$B$106/100+Assumptions!$B$86*Assumptions!$B$108/100*100/100)</f>
        <v>0.183</v>
      </c>
      <c r="E5" s="43" t="n">
        <f aca="false">MAX(0.01,(Assumptions!$B$9+((Assumptions!$B$9+(Assumptions!$O$9-Assumptions!$B$9)*Assumptions!$B$111)-Assumptions!$B$9)*3/4)+Assumptions!$B$106/100+Assumptions!$B$86*Assumptions!$B$108/100*100/100)</f>
        <v>0.189</v>
      </c>
      <c r="F5" s="43" t="n">
        <f aca="false">MAX(0.01,(Assumptions!$B$9+((Assumptions!$B$9+(Assumptions!$O$9-Assumptions!$B$9)*Assumptions!$B$111)-Assumptions!$B$9)*4/4)+Assumptions!$B$106/100+Assumptions!$B$86*Assumptions!$B$108/100*100/100)</f>
        <v>0.195</v>
      </c>
      <c r="G5" s="43" t="n">
        <f aca="false">MAX(0.01,((Assumptions!$B$9+(Assumptions!$O$9-Assumptions!$B$9)*Assumptions!$B$111)+((Assumptions!$B$9+(Assumptions!$P$9-Assumptions!$B$9)*Assumptions!$B$111)-(Assumptions!$B$9+(Assumptions!$O$9-Assumptions!$B$9)*Assumptions!$B$111))*1/4)+Assumptions!$B$106/100+Assumptions!$B$86*Assumptions!$B$108/100*100/100)</f>
        <v>0.2</v>
      </c>
      <c r="H5" s="43" t="n">
        <f aca="false">MAX(0.01,((Assumptions!$B$9+(Assumptions!$O$9-Assumptions!$B$9)*Assumptions!$B$111)+((Assumptions!$B$9+(Assumptions!$P$9-Assumptions!$B$9)*Assumptions!$B$111)-(Assumptions!$B$9+(Assumptions!$O$9-Assumptions!$B$9)*Assumptions!$B$111))*2/4)+Assumptions!$B$106/100+Assumptions!$B$86*Assumptions!$B$108/100*100/100)</f>
        <v>0.205</v>
      </c>
      <c r="I5" s="43" t="n">
        <f aca="false">MAX(0.01,((Assumptions!$B$9+(Assumptions!$O$9-Assumptions!$B$9)*Assumptions!$B$111)+((Assumptions!$B$9+(Assumptions!$P$9-Assumptions!$B$9)*Assumptions!$B$111)-(Assumptions!$B$9+(Assumptions!$O$9-Assumptions!$B$9)*Assumptions!$B$111))*3/4)+Assumptions!$B$106/100+Assumptions!$B$86*Assumptions!$B$108/100*100/100)</f>
        <v>0.21</v>
      </c>
      <c r="J5" s="43" t="n">
        <f aca="false">MAX(0.01,((Assumptions!$B$9+(Assumptions!$O$9-Assumptions!$B$9)*Assumptions!$B$111)+((Assumptions!$B$9+(Assumptions!$P$9-Assumptions!$B$9)*Assumptions!$B$111)-(Assumptions!$B$9+(Assumptions!$O$9-Assumptions!$B$9)*Assumptions!$B$111))*4/4)+Assumptions!$B$106/100+Assumptions!$B$86*Assumptions!$B$108/100*100/100)</f>
        <v>0.215</v>
      </c>
      <c r="K5" s="43" t="n">
        <f aca="false">MAX(0.01,((Assumptions!$B$9+(Assumptions!$P$9-Assumptions!$B$9)*Assumptions!$B$111)+((Assumptions!$B$9+(Assumptions!$Q$9-Assumptions!$B$9)*Assumptions!$B$111)-(Assumptions!$B$9+(Assumptions!$P$9-Assumptions!$B$9)*Assumptions!$B$111))*1/4)+Assumptions!$B$106/100+Assumptions!$B$86*Assumptions!$B$108/100*100/100)</f>
        <v>0.2175</v>
      </c>
      <c r="L5" s="43" t="n">
        <f aca="false">MAX(0.01,((Assumptions!$B$9+(Assumptions!$P$9-Assumptions!$B$9)*Assumptions!$B$111)+((Assumptions!$B$9+(Assumptions!$Q$9-Assumptions!$B$9)*Assumptions!$B$111)-(Assumptions!$B$9+(Assumptions!$P$9-Assumptions!$B$9)*Assumptions!$B$111))*2/4)+Assumptions!$B$106/100+Assumptions!$B$86*Assumptions!$B$108/100*100/100)</f>
        <v>0.22</v>
      </c>
      <c r="M5" s="43" t="n">
        <f aca="false">MAX(0.01,((Assumptions!$B$9+(Assumptions!$P$9-Assumptions!$B$9)*Assumptions!$B$111)+((Assumptions!$B$9+(Assumptions!$Q$9-Assumptions!$B$9)*Assumptions!$B$111)-(Assumptions!$B$9+(Assumptions!$P$9-Assumptions!$B$9)*Assumptions!$B$111))*3/4)+Assumptions!$B$106/100+Assumptions!$B$86*Assumptions!$B$108/100*100/100)</f>
        <v>0.2225</v>
      </c>
      <c r="N5" s="43" t="n">
        <f aca="false">MAX(0.01,((Assumptions!$B$9+(Assumptions!$P$9-Assumptions!$B$9)*Assumptions!$B$111)+((Assumptions!$B$9+(Assumptions!$Q$9-Assumptions!$B$9)*Assumptions!$B$111)-(Assumptions!$B$9+(Assumptions!$P$9-Assumptions!$B$9)*Assumptions!$B$111))*4/4)+Assumptions!$B$106/100+Assumptions!$B$86*Assumptions!$B$108/100*100/100)</f>
        <v>0.225</v>
      </c>
      <c r="O5" s="43" t="n">
        <f aca="false">AVERAGE(C5:F5)</f>
        <v>0.186</v>
      </c>
      <c r="P5" s="43" t="n">
        <f aca="false">AVERAGE(G5:J5)</f>
        <v>0.2075</v>
      </c>
      <c r="Q5" s="43" t="n">
        <f aca="false">AVERAGE(K5:N5)</f>
        <v>0.22125</v>
      </c>
      <c r="R5" s="7" t="s">
        <v>405</v>
      </c>
    </row>
    <row r="6" customFormat="false" ht="15" hidden="false" customHeight="true" outlineLevel="0" collapsed="false">
      <c r="A6" s="8" t="s">
        <v>406</v>
      </c>
      <c r="C6" s="48" t="n">
        <f aca="false">MAX(3,(Assumptions!$B$10+((Assumptions!$B$10+(Assumptions!$O$10-Assumptions!$B$10)*Assumptions!$B$111)-Assumptions!$B$10)*1/4)+Assumptions!$B$107)</f>
        <v>8.075</v>
      </c>
      <c r="D6" s="48" t="n">
        <f aca="false">MAX(3,(Assumptions!$B$10+((Assumptions!$B$10+(Assumptions!$O$10-Assumptions!$B$10)*Assumptions!$B$111)-Assumptions!$B$10)*2/4)+Assumptions!$B$107)</f>
        <v>8.05</v>
      </c>
      <c r="E6" s="48" t="n">
        <f aca="false">MAX(3,(Assumptions!$B$10+((Assumptions!$B$10+(Assumptions!$O$10-Assumptions!$B$10)*Assumptions!$B$111)-Assumptions!$B$10)*3/4)+Assumptions!$B$107)</f>
        <v>8.025</v>
      </c>
      <c r="F6" s="48" t="n">
        <f aca="false">MAX(3,(Assumptions!$B$10+((Assumptions!$B$10+(Assumptions!$O$10-Assumptions!$B$10)*Assumptions!$B$111)-Assumptions!$B$10)*4/4)+Assumptions!$B$107)</f>
        <v>8</v>
      </c>
      <c r="G6" s="48" t="n">
        <f aca="false">MAX(3,((Assumptions!$B$10+(Assumptions!$O$10-Assumptions!$B$10)*Assumptions!$B$111)+((Assumptions!$B$10+(Assumptions!$P$10-Assumptions!$B$10)*Assumptions!$B$111)-(Assumptions!$B$10+(Assumptions!$O$10-Assumptions!$B$10)*Assumptions!$B$111))*1/4)+Assumptions!$B$107)</f>
        <v>7.9</v>
      </c>
      <c r="H6" s="48" t="n">
        <f aca="false">MAX(3,((Assumptions!$B$10+(Assumptions!$O$10-Assumptions!$B$10)*Assumptions!$B$111)+((Assumptions!$B$10+(Assumptions!$P$10-Assumptions!$B$10)*Assumptions!$B$111)-(Assumptions!$B$10+(Assumptions!$O$10-Assumptions!$B$10)*Assumptions!$B$111))*2/4)+Assumptions!$B$107)</f>
        <v>7.8</v>
      </c>
      <c r="I6" s="48" t="n">
        <f aca="false">MAX(3,((Assumptions!$B$10+(Assumptions!$O$10-Assumptions!$B$10)*Assumptions!$B$111)+((Assumptions!$B$10+(Assumptions!$P$10-Assumptions!$B$10)*Assumptions!$B$111)-(Assumptions!$B$10+(Assumptions!$O$10-Assumptions!$B$10)*Assumptions!$B$111))*3/4)+Assumptions!$B$107)</f>
        <v>7.7</v>
      </c>
      <c r="J6" s="48" t="n">
        <f aca="false">MAX(3,((Assumptions!$B$10+(Assumptions!$O$10-Assumptions!$B$10)*Assumptions!$B$111)+((Assumptions!$B$10+(Assumptions!$P$10-Assumptions!$B$10)*Assumptions!$B$111)-(Assumptions!$B$10+(Assumptions!$O$10-Assumptions!$B$10)*Assumptions!$B$111))*4/4)+Assumptions!$B$107)</f>
        <v>7.6</v>
      </c>
      <c r="K6" s="48" t="n">
        <f aca="false">MAX(3,((Assumptions!$B$10+(Assumptions!$P$10-Assumptions!$B$10)*Assumptions!$B$111)+((Assumptions!$B$10+(Assumptions!$Q$10-Assumptions!$B$10)*Assumptions!$B$111)-(Assumptions!$B$10+(Assumptions!$P$10-Assumptions!$B$10)*Assumptions!$B$111))*1/4)+Assumptions!$B$107)</f>
        <v>7.525</v>
      </c>
      <c r="L6" s="48" t="n">
        <f aca="false">MAX(3,((Assumptions!$B$10+(Assumptions!$P$10-Assumptions!$B$10)*Assumptions!$B$111)+((Assumptions!$B$10+(Assumptions!$Q$10-Assumptions!$B$10)*Assumptions!$B$111)-(Assumptions!$B$10+(Assumptions!$P$10-Assumptions!$B$10)*Assumptions!$B$111))*2/4)+Assumptions!$B$107)</f>
        <v>7.45</v>
      </c>
      <c r="M6" s="48" t="n">
        <f aca="false">MAX(3,((Assumptions!$B$10+(Assumptions!$P$10-Assumptions!$B$10)*Assumptions!$B$111)+((Assumptions!$B$10+(Assumptions!$Q$10-Assumptions!$B$10)*Assumptions!$B$111)-(Assumptions!$B$10+(Assumptions!$P$10-Assumptions!$B$10)*Assumptions!$B$111))*3/4)+Assumptions!$B$107)</f>
        <v>7.375</v>
      </c>
      <c r="N6" s="48" t="n">
        <f aca="false">MAX(3,((Assumptions!$B$10+(Assumptions!$P$10-Assumptions!$B$10)*Assumptions!$B$111)+((Assumptions!$B$10+(Assumptions!$Q$10-Assumptions!$B$10)*Assumptions!$B$111)-(Assumptions!$B$10+(Assumptions!$P$10-Assumptions!$B$10)*Assumptions!$B$111))*4/4)+Assumptions!$B$107)</f>
        <v>7.3</v>
      </c>
      <c r="O6" s="48" t="n">
        <f aca="false">AVERAGE(C6:F6)</f>
        <v>8.0375</v>
      </c>
      <c r="P6" s="48" t="n">
        <f aca="false">AVERAGE(G6:J6)</f>
        <v>7.75</v>
      </c>
      <c r="Q6" s="48" t="n">
        <f aca="false">AVERAGE(K6:N6)</f>
        <v>7.4125</v>
      </c>
    </row>
    <row r="7" customFormat="false" ht="15" hidden="false" customHeight="true" outlineLevel="0" collapsed="false">
      <c r="A7" s="8" t="s">
        <v>407</v>
      </c>
      <c r="C7" s="43" t="n">
        <f aca="false">(Assumptions!$B$12+((Assumptions!$B$12+(Assumptions!$O$12-Assumptions!$B$12)*Assumptions!$B$111)-Assumptions!$B$12)*1/4)+Assumptions!$B$108/100</f>
        <v>0.18475</v>
      </c>
      <c r="D7" s="43" t="n">
        <f aca="false">(Assumptions!$B$12+((Assumptions!$B$12+(Assumptions!$O$12-Assumptions!$B$12)*Assumptions!$B$111)-Assumptions!$B$12)*2/4)+Assumptions!$B$108/100</f>
        <v>0.1765</v>
      </c>
      <c r="E7" s="43" t="n">
        <f aca="false">(Assumptions!$B$12+((Assumptions!$B$12+(Assumptions!$O$12-Assumptions!$B$12)*Assumptions!$B$111)-Assumptions!$B$12)*3/4)+Assumptions!$B$108/100</f>
        <v>0.16825</v>
      </c>
      <c r="F7" s="43" t="n">
        <f aca="false">(Assumptions!$B$12+((Assumptions!$B$12+(Assumptions!$O$12-Assumptions!$B$12)*Assumptions!$B$111)-Assumptions!$B$12)*4/4)+Assumptions!$B$108/100</f>
        <v>0.16</v>
      </c>
      <c r="G7" s="43" t="n">
        <f aca="false">((Assumptions!$B$12+(Assumptions!$O$12-Assumptions!$B$12)*Assumptions!$B$111)+((Assumptions!$B$12+(Assumptions!$P$12-Assumptions!$B$12)*Assumptions!$B$111)-(Assumptions!$B$12+(Assumptions!$O$12-Assumptions!$B$12)*Assumptions!$B$111))*1/4)+Assumptions!$B$108/100</f>
        <v>0.1575</v>
      </c>
      <c r="H7" s="43" t="n">
        <f aca="false">((Assumptions!$B$12+(Assumptions!$O$12-Assumptions!$B$12)*Assumptions!$B$111)+((Assumptions!$B$12+(Assumptions!$P$12-Assumptions!$B$12)*Assumptions!$B$111)-(Assumptions!$B$12+(Assumptions!$O$12-Assumptions!$B$12)*Assumptions!$B$111))*2/4)+Assumptions!$B$108/100</f>
        <v>0.155</v>
      </c>
      <c r="I7" s="43" t="n">
        <f aca="false">((Assumptions!$B$12+(Assumptions!$O$12-Assumptions!$B$12)*Assumptions!$B$111)+((Assumptions!$B$12+(Assumptions!$P$12-Assumptions!$B$12)*Assumptions!$B$111)-(Assumptions!$B$12+(Assumptions!$O$12-Assumptions!$B$12)*Assumptions!$B$111))*3/4)+Assumptions!$B$108/100</f>
        <v>0.1525</v>
      </c>
      <c r="J7" s="43" t="n">
        <f aca="false">((Assumptions!$B$12+(Assumptions!$O$12-Assumptions!$B$12)*Assumptions!$B$111)+((Assumptions!$B$12+(Assumptions!$P$12-Assumptions!$B$12)*Assumptions!$B$111)-(Assumptions!$B$12+(Assumptions!$O$12-Assumptions!$B$12)*Assumptions!$B$111))*4/4)+Assumptions!$B$108/100</f>
        <v>0.15</v>
      </c>
      <c r="K7" s="43" t="n">
        <f aca="false">((Assumptions!$B$12+(Assumptions!$P$12-Assumptions!$B$12)*Assumptions!$B$111)+((Assumptions!$B$12+(Assumptions!$Q$12-Assumptions!$B$12)*Assumptions!$B$111)-(Assumptions!$B$12+(Assumptions!$P$12-Assumptions!$B$12)*Assumptions!$B$111))*1/4)+Assumptions!$B$108/100</f>
        <v>0.15</v>
      </c>
      <c r="L7" s="43" t="n">
        <f aca="false">((Assumptions!$B$12+(Assumptions!$P$12-Assumptions!$B$12)*Assumptions!$B$111)+((Assumptions!$B$12+(Assumptions!$Q$12-Assumptions!$B$12)*Assumptions!$B$111)-(Assumptions!$B$12+(Assumptions!$P$12-Assumptions!$B$12)*Assumptions!$B$111))*2/4)+Assumptions!$B$108/100</f>
        <v>0.15</v>
      </c>
      <c r="M7" s="43" t="n">
        <f aca="false">((Assumptions!$B$12+(Assumptions!$P$12-Assumptions!$B$12)*Assumptions!$B$111)+((Assumptions!$B$12+(Assumptions!$Q$12-Assumptions!$B$12)*Assumptions!$B$111)-(Assumptions!$B$12+(Assumptions!$P$12-Assumptions!$B$12)*Assumptions!$B$111))*3/4)+Assumptions!$B$108/100</f>
        <v>0.15</v>
      </c>
      <c r="N7" s="43" t="n">
        <f aca="false">((Assumptions!$B$12+(Assumptions!$P$12-Assumptions!$B$12)*Assumptions!$B$111)+((Assumptions!$B$12+(Assumptions!$Q$12-Assumptions!$B$12)*Assumptions!$B$111)-(Assumptions!$B$12+(Assumptions!$P$12-Assumptions!$B$12)*Assumptions!$B$111))*4/4)+Assumptions!$B$108/100</f>
        <v>0.15</v>
      </c>
      <c r="O7" s="43" t="n">
        <f aca="false">AVERAGE(C7:F7)</f>
        <v>0.172375</v>
      </c>
      <c r="P7" s="43" t="n">
        <f aca="false">AVERAGE(G7:J7)</f>
        <v>0.15375</v>
      </c>
      <c r="Q7" s="43" t="n">
        <f aca="false">AVERAGE(K7:N7)</f>
        <v>0.15</v>
      </c>
    </row>
    <row r="8" customFormat="false" ht="15" hidden="false" customHeight="true" outlineLevel="0" collapsed="false">
      <c r="A8" s="8" t="s">
        <v>408</v>
      </c>
      <c r="C8" s="41" t="n">
        <f aca="false">(Assumptions!$B$11+((Assumptions!$B$11+(Assumptions!$O$11-Assumptions!$B$11)*Assumptions!$B$111)-Assumptions!$B$11)*1/4)*(1-C7)/100</f>
        <v>0.583311375</v>
      </c>
      <c r="D8" s="41" t="n">
        <f aca="false">(Assumptions!$B$11+((Assumptions!$B$11+(Assumptions!$O$11-Assumptions!$B$11)*Assumptions!$B$111)-Assumptions!$B$11)*2/4)*(1-D7)/100</f>
        <v>0.5904495</v>
      </c>
      <c r="E8" s="41" t="n">
        <f aca="false">(Assumptions!$B$11+((Assumptions!$B$11+(Assumptions!$O$11-Assumptions!$B$11)*Assumptions!$B$111)-Assumptions!$B$11)*3/4)*(1-E7)/100</f>
        <v>0.597612375</v>
      </c>
      <c r="F8" s="41" t="n">
        <f aca="false">(Assumptions!$B$11+((Assumptions!$B$11+(Assumptions!$O$11-Assumptions!$B$11)*Assumptions!$B$111)-Assumptions!$B$11)*4/4)*(1-F7)/100</f>
        <v>0.6048</v>
      </c>
      <c r="G8" s="41" t="n">
        <f aca="false">((Assumptions!$B$11+(Assumptions!$O$11-Assumptions!$B$11)*Assumptions!$B$111)+((Assumptions!$B$11+(Assumptions!$P$11-Assumptions!$B$11)*Assumptions!$B$111)-(Assumptions!$B$11+(Assumptions!$O$11-Assumptions!$B$11)*Assumptions!$B$111))*1/4)*(1-G7)/100</f>
        <v>0.611865625</v>
      </c>
      <c r="H8" s="41" t="n">
        <f aca="false">((Assumptions!$B$11+(Assumptions!$O$11-Assumptions!$B$11)*Assumptions!$B$111)+((Assumptions!$B$11+(Assumptions!$P$11-Assumptions!$B$11)*Assumptions!$B$111)-(Assumptions!$B$11+(Assumptions!$O$11-Assumptions!$B$11)*Assumptions!$B$111))*2/4)*(1-H7)/100</f>
        <v>0.6189625</v>
      </c>
      <c r="I8" s="41" t="n">
        <f aca="false">((Assumptions!$B$11+(Assumptions!$O$11-Assumptions!$B$11)*Assumptions!$B$111)+((Assumptions!$B$11+(Assumptions!$P$11-Assumptions!$B$11)*Assumptions!$B$111)-(Assumptions!$B$11+(Assumptions!$O$11-Assumptions!$B$11)*Assumptions!$B$111))*3/4)*(1-I7)/100</f>
        <v>0.626090625</v>
      </c>
      <c r="J8" s="41" t="n">
        <f aca="false">((Assumptions!$B$11+(Assumptions!$O$11-Assumptions!$B$11)*Assumptions!$B$111)+((Assumptions!$B$11+(Assumptions!$P$11-Assumptions!$B$11)*Assumptions!$B$111)-(Assumptions!$B$11+(Assumptions!$O$11-Assumptions!$B$11)*Assumptions!$B$111))*4/4)*(1-J7)/100</f>
        <v>0.63325</v>
      </c>
      <c r="K8" s="41" t="n">
        <f aca="false">((Assumptions!$B$11+(Assumptions!$P$11-Assumptions!$B$11)*Assumptions!$B$111)+((Assumptions!$B$11+(Assumptions!$Q$11-Assumptions!$B$11)*Assumptions!$B$111)-(Assumptions!$B$11+(Assumptions!$P$11-Assumptions!$B$11)*Assumptions!$B$111))*1/4)*(1-K7)/100</f>
        <v>0.6385625</v>
      </c>
      <c r="L8" s="41" t="n">
        <f aca="false">((Assumptions!$B$11+(Assumptions!$P$11-Assumptions!$B$11)*Assumptions!$B$111)+((Assumptions!$B$11+(Assumptions!$Q$11-Assumptions!$B$11)*Assumptions!$B$111)-(Assumptions!$B$11+(Assumptions!$P$11-Assumptions!$B$11)*Assumptions!$B$111))*2/4)*(1-L7)/100</f>
        <v>0.643875</v>
      </c>
      <c r="M8" s="41" t="n">
        <f aca="false">((Assumptions!$B$11+(Assumptions!$P$11-Assumptions!$B$11)*Assumptions!$B$111)+((Assumptions!$B$11+(Assumptions!$Q$11-Assumptions!$B$11)*Assumptions!$B$111)-(Assumptions!$B$11+(Assumptions!$P$11-Assumptions!$B$11)*Assumptions!$B$111))*3/4)*(1-M7)/100</f>
        <v>0.6491875</v>
      </c>
      <c r="N8" s="41" t="n">
        <f aca="false">((Assumptions!$B$11+(Assumptions!$P$11-Assumptions!$B$11)*Assumptions!$B$111)+((Assumptions!$B$11+(Assumptions!$Q$11-Assumptions!$B$11)*Assumptions!$B$111)-(Assumptions!$B$11+(Assumptions!$P$11-Assumptions!$B$11)*Assumptions!$B$111))*4/4)*(1-N7)/100</f>
        <v>0.6545</v>
      </c>
      <c r="O8" s="41" t="n">
        <f aca="false">AVERAGE(C8:F8)</f>
        <v>0.5940433125</v>
      </c>
      <c r="P8" s="41" t="n">
        <f aca="false">AVERAGE(G8:J8)</f>
        <v>0.6225421875</v>
      </c>
      <c r="Q8" s="41" t="n">
        <f aca="false">AVERAGE(K8:N8)</f>
        <v>0.64653125</v>
      </c>
    </row>
    <row r="9" customFormat="false" ht="15" hidden="false" customHeight="true" outlineLevel="0" collapsed="false">
      <c r="A9" s="8" t="s">
        <v>409</v>
      </c>
      <c r="C9" s="48" t="n">
        <f aca="false">Capacity!C33*Assumptions!$B$34*3/C6</f>
        <v>90.8172200619195</v>
      </c>
      <c r="D9" s="48" t="n">
        <f aca="false">Capacity!D33*Assumptions!$B$34*3/D6</f>
        <v>93.6174449667577</v>
      </c>
      <c r="E9" s="48" t="n">
        <f aca="false">Capacity!E33*Assumptions!$B$34*3/E6</f>
        <v>96.0510818564371</v>
      </c>
      <c r="F9" s="48" t="n">
        <f aca="false">Capacity!F33*Assumptions!$B$34*3/F6</f>
        <v>99.8767512180242</v>
      </c>
      <c r="G9" s="48" t="n">
        <f aca="false">Capacity!G33*Assumptions!$B$34*3/G6</f>
        <v>104.389325401801</v>
      </c>
      <c r="H9" s="48" t="n">
        <f aca="false">Capacity!H33*Assumptions!$B$34*3/H6</f>
        <v>109.938478471711</v>
      </c>
      <c r="I9" s="48" t="n">
        <f aca="false">Capacity!I33*Assumptions!$B$34*3/I6</f>
        <v>114.855415147771</v>
      </c>
      <c r="J9" s="48" t="n">
        <f aca="false">Capacity!J33*Assumptions!$B$34*3/J6</f>
        <v>120.427330635522</v>
      </c>
      <c r="K9" s="48" t="n">
        <f aca="false">Capacity!K33*Assumptions!$B$34*3/K6</f>
        <v>125.274277789626</v>
      </c>
      <c r="L9" s="48" t="n">
        <f aca="false">Capacity!L33*Assumptions!$B$34*3/L6</f>
        <v>131.171913276243</v>
      </c>
      <c r="M9" s="48" t="n">
        <f aca="false">Capacity!M33*Assumptions!$B$34*3/M6</f>
        <v>136.3432583819</v>
      </c>
      <c r="N9" s="48" t="n">
        <f aca="false">Capacity!N33*Assumptions!$B$34*3/N6</f>
        <v>141.467955942335</v>
      </c>
      <c r="O9" s="48" t="n">
        <f aca="false">SUM(C9:F9)</f>
        <v>380.362498103139</v>
      </c>
      <c r="P9" s="48" t="n">
        <f aca="false">SUM(G9:J9)</f>
        <v>449.610549656804</v>
      </c>
      <c r="Q9" s="48" t="n">
        <f aca="false">SUM(K9:N9)</f>
        <v>534.257405390103</v>
      </c>
    </row>
    <row r="10" customFormat="false" ht="15" hidden="false" customHeight="true" outlineLevel="0" collapsed="false">
      <c r="A10" s="8" t="s">
        <v>410</v>
      </c>
      <c r="C10" s="48" t="n">
        <f aca="false">(Assumptions!$B$13+(Assumptions!$O$13-Assumptions!$B$13)*Assumptions!$B$111)/4</f>
        <v>95</v>
      </c>
      <c r="D10" s="48" t="n">
        <f aca="false">(Assumptions!$B$13+(Assumptions!$O$13-Assumptions!$B$13)*Assumptions!$B$111)/4</f>
        <v>95</v>
      </c>
      <c r="E10" s="48" t="n">
        <f aca="false">(Assumptions!$B$13+(Assumptions!$O$13-Assumptions!$B$13)*Assumptions!$B$111)/4</f>
        <v>95</v>
      </c>
      <c r="F10" s="48" t="n">
        <f aca="false">(Assumptions!$B$13+(Assumptions!$O$13-Assumptions!$B$13)*Assumptions!$B$111)/4</f>
        <v>95</v>
      </c>
      <c r="G10" s="48" t="n">
        <f aca="false">(Assumptions!$B$13+(Assumptions!$P$13-Assumptions!$B$13)*Assumptions!$B$111)/4</f>
        <v>107.5</v>
      </c>
      <c r="H10" s="48" t="n">
        <f aca="false">(Assumptions!$B$13+(Assumptions!$P$13-Assumptions!$B$13)*Assumptions!$B$111)/4</f>
        <v>107.5</v>
      </c>
      <c r="I10" s="48" t="n">
        <f aca="false">(Assumptions!$B$13+(Assumptions!$P$13-Assumptions!$B$13)*Assumptions!$B$111)/4</f>
        <v>107.5</v>
      </c>
      <c r="J10" s="48" t="n">
        <f aca="false">(Assumptions!$B$13+(Assumptions!$P$13-Assumptions!$B$13)*Assumptions!$B$111)/4</f>
        <v>107.5</v>
      </c>
      <c r="K10" s="48" t="n">
        <f aca="false">(Assumptions!$B$13+(Assumptions!$Q$13-Assumptions!$B$13)*Assumptions!$B$111)/4</f>
        <v>117.5</v>
      </c>
      <c r="L10" s="48" t="n">
        <f aca="false">(Assumptions!$B$13+(Assumptions!$Q$13-Assumptions!$B$13)*Assumptions!$B$111)/4</f>
        <v>117.5</v>
      </c>
      <c r="M10" s="48" t="n">
        <f aca="false">(Assumptions!$B$13+(Assumptions!$Q$13-Assumptions!$B$13)*Assumptions!$B$111)/4</f>
        <v>117.5</v>
      </c>
      <c r="N10" s="48" t="n">
        <f aca="false">(Assumptions!$B$13+(Assumptions!$Q$13-Assumptions!$B$13)*Assumptions!$B$111)/4</f>
        <v>117.5</v>
      </c>
      <c r="O10" s="48" t="n">
        <f aca="false">SUM(C10:F10)</f>
        <v>380</v>
      </c>
      <c r="P10" s="48" t="n">
        <f aca="false">SUM(G10:J10)</f>
        <v>430</v>
      </c>
      <c r="Q10" s="48" t="n">
        <f aca="false">SUM(K10:N10)</f>
        <v>470</v>
      </c>
    </row>
    <row r="11" customFormat="false" ht="15" hidden="false" customHeight="true" outlineLevel="0" collapsed="false">
      <c r="A11" s="8" t="s">
        <v>411</v>
      </c>
      <c r="C11" s="48" t="n">
        <f aca="false">MIN(C9,C10)</f>
        <v>90.8172200619195</v>
      </c>
      <c r="D11" s="48" t="n">
        <f aca="false">MIN(D9,D10)</f>
        <v>93.6174449667577</v>
      </c>
      <c r="E11" s="48" t="n">
        <f aca="false">MIN(E9,E10)</f>
        <v>95</v>
      </c>
      <c r="F11" s="48" t="n">
        <f aca="false">MIN(F9,F10)</f>
        <v>95</v>
      </c>
      <c r="G11" s="48" t="n">
        <f aca="false">MIN(G9,G10)</f>
        <v>104.389325401801</v>
      </c>
      <c r="H11" s="48" t="n">
        <f aca="false">MIN(H9,H10)</f>
        <v>107.5</v>
      </c>
      <c r="I11" s="48" t="n">
        <f aca="false">MIN(I9,I10)</f>
        <v>107.5</v>
      </c>
      <c r="J11" s="48" t="n">
        <f aca="false">MIN(J9,J10)</f>
        <v>107.5</v>
      </c>
      <c r="K11" s="48" t="n">
        <f aca="false">MIN(K9,K10)</f>
        <v>117.5</v>
      </c>
      <c r="L11" s="48" t="n">
        <f aca="false">MIN(L9,L10)</f>
        <v>117.5</v>
      </c>
      <c r="M11" s="48" t="n">
        <f aca="false">MIN(M9,M10)</f>
        <v>117.5</v>
      </c>
      <c r="N11" s="48" t="n">
        <f aca="false">MIN(N9,N10)</f>
        <v>117.5</v>
      </c>
      <c r="O11" s="48" t="n">
        <f aca="false">SUM(C11:F11)</f>
        <v>374.434665028677</v>
      </c>
      <c r="P11" s="48" t="n">
        <f aca="false">SUM(G11:J11)</f>
        <v>426.889325401801</v>
      </c>
      <c r="Q11" s="48" t="n">
        <f aca="false">SUM(K11:N11)</f>
        <v>470</v>
      </c>
    </row>
    <row r="12" customFormat="false" ht="15" hidden="false" customHeight="true" outlineLevel="0" collapsed="false">
      <c r="A12" s="8" t="s">
        <v>412</v>
      </c>
      <c r="C12" s="7" t="str">
        <f aca="false">IF(C9&lt;C10,"AE capacity","Pipeline")</f>
        <v>AE capacity</v>
      </c>
      <c r="D12" s="7" t="str">
        <f aca="false">IF(D9&lt;D10,"AE capacity","Pipeline")</f>
        <v>AE capacity</v>
      </c>
      <c r="E12" s="7" t="str">
        <f aca="false">IF(E9&lt;E10,"AE capacity","Pipeline")</f>
        <v>Pipeline</v>
      </c>
      <c r="F12" s="7" t="str">
        <f aca="false">IF(F9&lt;F10,"AE capacity","Pipeline")</f>
        <v>Pipeline</v>
      </c>
      <c r="G12" s="7" t="str">
        <f aca="false">IF(G9&lt;G10,"AE capacity","Pipeline")</f>
        <v>AE capacity</v>
      </c>
      <c r="H12" s="7" t="str">
        <f aca="false">IF(H9&lt;H10,"AE capacity","Pipeline")</f>
        <v>Pipeline</v>
      </c>
      <c r="I12" s="7" t="str">
        <f aca="false">IF(I9&lt;I10,"AE capacity","Pipeline")</f>
        <v>Pipeline</v>
      </c>
      <c r="J12" s="7" t="str">
        <f aca="false">IF(J9&lt;J10,"AE capacity","Pipeline")</f>
        <v>Pipeline</v>
      </c>
      <c r="K12" s="7" t="str">
        <f aca="false">IF(K9&lt;K10,"AE capacity","Pipeline")</f>
        <v>Pipeline</v>
      </c>
      <c r="L12" s="7" t="str">
        <f aca="false">IF(L9&lt;L10,"AE capacity","Pipeline")</f>
        <v>Pipeline</v>
      </c>
      <c r="M12" s="7" t="str">
        <f aca="false">IF(M9&lt;M10,"AE capacity","Pipeline")</f>
        <v>Pipeline</v>
      </c>
      <c r="N12" s="7" t="str">
        <f aca="false">IF(N9&lt;N10,"AE capacity","Pipeline")</f>
        <v>Pipeline</v>
      </c>
    </row>
    <row r="13" customFormat="false" ht="15" hidden="false" customHeight="true" outlineLevel="0" collapsed="false">
      <c r="A13" s="8" t="s">
        <v>413</v>
      </c>
      <c r="C13" s="48" t="n">
        <f aca="false">C14/C8</f>
        <v>13.6647429513954</v>
      </c>
      <c r="D13" s="48" t="n">
        <f aca="false">D11*D5</f>
        <v>17.1319924289167</v>
      </c>
      <c r="E13" s="48" t="n">
        <f aca="false">E11*E5</f>
        <v>17.955</v>
      </c>
      <c r="F13" s="48" t="n">
        <f aca="false">F11*F5</f>
        <v>18.525</v>
      </c>
      <c r="G13" s="48" t="n">
        <f aca="false">G11*G5</f>
        <v>20.8778650803602</v>
      </c>
      <c r="H13" s="48" t="n">
        <f aca="false">H11*H5</f>
        <v>22.0375</v>
      </c>
      <c r="I13" s="48" t="n">
        <f aca="false">I11*I5</f>
        <v>22.575</v>
      </c>
      <c r="J13" s="48" t="n">
        <f aca="false">J11*J5</f>
        <v>23.1125</v>
      </c>
      <c r="K13" s="48" t="n">
        <f aca="false">K11*K5</f>
        <v>25.55625</v>
      </c>
      <c r="L13" s="48" t="n">
        <f aca="false">L11*L5</f>
        <v>25.85</v>
      </c>
      <c r="M13" s="48" t="n">
        <f aca="false">M11*M5</f>
        <v>26.14375</v>
      </c>
      <c r="N13" s="48" t="n">
        <f aca="false">N11*N5</f>
        <v>26.4375</v>
      </c>
      <c r="O13" s="48" t="n">
        <f aca="false">SUM(C13:F13)</f>
        <v>67.2767353803121</v>
      </c>
      <c r="P13" s="48" t="n">
        <f aca="false">SUM(G13:J13)</f>
        <v>88.6028650803602</v>
      </c>
      <c r="Q13" s="48" t="n">
        <f aca="false">SUM(K13:N13)</f>
        <v>103.9875</v>
      </c>
    </row>
    <row r="14" customFormat="false" ht="15" hidden="false" customHeight="true" outlineLevel="0" collapsed="false">
      <c r="A14" s="4" t="s">
        <v>414</v>
      </c>
      <c r="C14" s="22" t="n">
        <f aca="false">Assumptions!$B$48-Channel!C28</f>
        <v>7.9708</v>
      </c>
      <c r="D14" s="22" t="n">
        <f aca="false">D11*D5*D8</f>
        <v>10.1155763636576</v>
      </c>
      <c r="E14" s="22" t="n">
        <f aca="false">E11*E5*E8</f>
        <v>10.730130193125</v>
      </c>
      <c r="F14" s="22" t="n">
        <f aca="false">F11*F5*F8</f>
        <v>11.20392</v>
      </c>
      <c r="G14" s="22" t="n">
        <f aca="false">G11*G5*G8</f>
        <v>12.7744479660602</v>
      </c>
      <c r="H14" s="22" t="n">
        <f aca="false">H11*H5*H8</f>
        <v>13.64038609375</v>
      </c>
      <c r="I14" s="22" t="n">
        <f aca="false">I11*I5*I8</f>
        <v>14.133995859375</v>
      </c>
      <c r="J14" s="22" t="n">
        <f aca="false">J11*J5*J8</f>
        <v>14.635990625</v>
      </c>
      <c r="K14" s="22" t="n">
        <f aca="false">K11*K5*K8</f>
        <v>16.319262890625</v>
      </c>
      <c r="L14" s="22" t="n">
        <f aca="false">L11*L5*L8</f>
        <v>16.64416875</v>
      </c>
      <c r="M14" s="22" t="n">
        <f aca="false">M11*M5*M8</f>
        <v>16.972195703125</v>
      </c>
      <c r="N14" s="22" t="n">
        <f aca="false">N11*N5*N8</f>
        <v>17.30334375</v>
      </c>
      <c r="O14" s="22" t="n">
        <f aca="false">SUM(C14:F14)</f>
        <v>40.0204265567826</v>
      </c>
      <c r="P14" s="22" t="n">
        <f aca="false">SUM(G14:J14)</f>
        <v>55.1848205441852</v>
      </c>
      <c r="Q14" s="22" t="n">
        <f aca="false">SUM(K14:N14)</f>
        <v>67.23897109375</v>
      </c>
      <c r="R14" s="7" t="s">
        <v>415</v>
      </c>
    </row>
    <row r="15" customFormat="false" ht="15" hidden="false" customHeight="true" outlineLevel="0" collapsed="false">
      <c r="A15" s="4" t="s">
        <v>416</v>
      </c>
      <c r="C15" s="22" t="n">
        <f aca="false">C14/C5</f>
        <v>45.0327683615819</v>
      </c>
      <c r="D15" s="22" t="n">
        <f aca="false">D14/D5</f>
        <v>55.2763735718996</v>
      </c>
      <c r="E15" s="22" t="n">
        <f aca="false">E14/E5</f>
        <v>56.773175625</v>
      </c>
      <c r="F15" s="22" t="n">
        <f aca="false">F14/F5</f>
        <v>57.456</v>
      </c>
      <c r="G15" s="22" t="n">
        <f aca="false">G14/G5</f>
        <v>63.8722398303012</v>
      </c>
      <c r="H15" s="22" t="n">
        <f aca="false">H14/H5</f>
        <v>66.53846875</v>
      </c>
      <c r="I15" s="22" t="n">
        <f aca="false">I14/I5</f>
        <v>67.3047421875</v>
      </c>
      <c r="J15" s="22" t="n">
        <f aca="false">J14/J5</f>
        <v>68.074375</v>
      </c>
      <c r="K15" s="22" t="n">
        <f aca="false">K14/K5</f>
        <v>75.03109375</v>
      </c>
      <c r="L15" s="22" t="n">
        <f aca="false">L14/L5</f>
        <v>75.6553125</v>
      </c>
      <c r="M15" s="22" t="n">
        <f aca="false">M14/M5</f>
        <v>76.27953125</v>
      </c>
      <c r="N15" s="22" t="n">
        <f aca="false">N14/N5</f>
        <v>76.90375</v>
      </c>
      <c r="O15" s="22" t="n">
        <f aca="false">SUM(C15:F15)</f>
        <v>214.538317558482</v>
      </c>
      <c r="P15" s="22" t="n">
        <f aca="false">SUM(G15:J15)</f>
        <v>265.789825767801</v>
      </c>
      <c r="Q15" s="22" t="n">
        <f aca="false">SUM(K15:N15)</f>
        <v>303.8696875</v>
      </c>
    </row>
    <row r="16" customFormat="false" ht="15" hidden="false" customHeight="true" outlineLevel="0" collapsed="false">
      <c r="A16" s="8" t="s">
        <v>417</v>
      </c>
      <c r="C16" s="43" t="n">
        <f aca="false">C11/C9</f>
        <v>1</v>
      </c>
      <c r="D16" s="43" t="n">
        <f aca="false">D11/D9</f>
        <v>1</v>
      </c>
      <c r="E16" s="43" t="n">
        <f aca="false">E11/E9</f>
        <v>0.989057053433213</v>
      </c>
      <c r="F16" s="43" t="n">
        <f aca="false">F11/F9</f>
        <v>0.951172308284452</v>
      </c>
      <c r="G16" s="43" t="n">
        <f aca="false">G11/G9</f>
        <v>1</v>
      </c>
      <c r="H16" s="43" t="n">
        <f aca="false">H11/H9</f>
        <v>0.977819608697441</v>
      </c>
      <c r="I16" s="43" t="n">
        <f aca="false">I11/I9</f>
        <v>0.935959352562455</v>
      </c>
      <c r="J16" s="43" t="n">
        <f aca="false">J11/J9</f>
        <v>0.892654511502486</v>
      </c>
      <c r="K16" s="43" t="n">
        <f aca="false">K11/K9</f>
        <v>0.937941946848169</v>
      </c>
      <c r="L16" s="43" t="n">
        <f aca="false">L11/L9</f>
        <v>0.895771031048008</v>
      </c>
      <c r="M16" s="43" t="n">
        <f aca="false">M11/M9</f>
        <v>0.861795452114549</v>
      </c>
      <c r="N16" s="43" t="n">
        <f aca="false">N11/N9</f>
        <v>0.830576784808393</v>
      </c>
    </row>
    <row r="19" customFormat="false" ht="15" hidden="false" customHeight="true" outlineLevel="0" collapsed="false">
      <c r="A19" s="4" t="s">
        <v>418</v>
      </c>
    </row>
    <row r="20" customFormat="false" ht="15" hidden="false" customHeight="true" outlineLevel="0" collapsed="false">
      <c r="A20" s="8" t="s">
        <v>419</v>
      </c>
      <c r="O20" s="41" t="n">
        <f aca="false">ARR_bridge!O19-(ARR_bridge!O5+ARR_bridge!O8-ARR_bridge!O9-ARR_bridge!O10-ARR_bridge!O11)</f>
        <v>49.2715008103949</v>
      </c>
      <c r="P20" s="41" t="n">
        <f aca="false">ARR_bridge!P19-(ARR_bridge!P5+ARR_bridge!P8-ARR_bridge!P9-ARR_bridge!P10-ARR_bridge!P11)</f>
        <v>70.1677659264897</v>
      </c>
      <c r="Q20" s="41" t="n">
        <f aca="false">ARR_bridge!Q19-(ARR_bridge!Q5+ARR_bridge!Q8-ARR_bridge!Q9-ARR_bridge!Q10-ARR_bridge!Q11)</f>
        <v>83.3359477521972</v>
      </c>
    </row>
    <row r="21" customFormat="false" ht="15" hidden="false" customHeight="true" outlineLevel="0" collapsed="false">
      <c r="A21" s="8" t="s">
        <v>420</v>
      </c>
      <c r="O21" s="41" t="n">
        <f aca="false">O20-Channel!O28</f>
        <v>45.5755008103949</v>
      </c>
      <c r="P21" s="41" t="n">
        <f aca="false">P20-Channel!P28</f>
        <v>60.3061659264897</v>
      </c>
      <c r="Q21" s="41" t="n">
        <f aca="false">Q20-Channel!Q28</f>
        <v>63.6261877521972</v>
      </c>
    </row>
    <row r="22" customFormat="false" ht="15" hidden="false" customHeight="true" outlineLevel="0" collapsed="false">
      <c r="A22" s="8" t="s">
        <v>421</v>
      </c>
      <c r="O22" s="46" t="n">
        <f aca="false">O21/(O5*O8)</f>
        <v>412.477624263189</v>
      </c>
      <c r="P22" s="46" t="n">
        <f aca="false">P21/(P5*P8)</f>
        <v>466.84727683124</v>
      </c>
      <c r="Q22" s="46" t="n">
        <f aca="false">Q21/(Q5*Q8)</f>
        <v>444.798282898838</v>
      </c>
    </row>
    <row r="23" customFormat="false" ht="15" hidden="false" customHeight="true" outlineLevel="0" collapsed="false">
      <c r="A23" s="8" t="s">
        <v>422</v>
      </c>
      <c r="O23" s="46" t="n">
        <f aca="false">O9</f>
        <v>380.362498103139</v>
      </c>
      <c r="P23" s="46" t="n">
        <f aca="false">P9</f>
        <v>449.610549656804</v>
      </c>
      <c r="Q23" s="46" t="n">
        <f aca="false">Q9</f>
        <v>534.257405390103</v>
      </c>
    </row>
    <row r="24" customFormat="false" ht="15" hidden="false" customHeight="true" outlineLevel="0" collapsed="false">
      <c r="A24" s="4" t="s">
        <v>423</v>
      </c>
      <c r="O24" s="53" t="n">
        <f aca="false">O23-O22</f>
        <v>-32.1151261600503</v>
      </c>
      <c r="P24" s="53" t="n">
        <f aca="false">P23-P22</f>
        <v>-17.236727174436</v>
      </c>
      <c r="Q24" s="53" t="n">
        <f aca="false">Q23-Q22</f>
        <v>89.4591224912656</v>
      </c>
      <c r="R24" s="7" t="s">
        <v>424</v>
      </c>
    </row>
    <row r="25" customFormat="false" ht="15" hidden="false" customHeight="true" outlineLevel="0" collapsed="false">
      <c r="A25" s="8" t="s">
        <v>425</v>
      </c>
      <c r="O25" s="48" t="n">
        <f aca="false">MAX(0,-O24)/(Assumptions!$B$34*12/O6)</f>
        <v>3.9834155325834</v>
      </c>
      <c r="P25" s="48" t="n">
        <f aca="false">MAX(0,-P24)/(Assumptions!$B$34*12/P6)</f>
        <v>2.06149129015245</v>
      </c>
      <c r="Q25" s="48" t="n">
        <f aca="false">MAX(0,-Q24)/(Assumptions!$B$34*12/Q6)</f>
        <v>0</v>
      </c>
    </row>
    <row r="26" customFormat="false" ht="15" hidden="false" customHeight="true" outlineLevel="0" collapsed="false">
      <c r="A26" s="4" t="s">
        <v>426</v>
      </c>
      <c r="O26" s="15" t="n">
        <f aca="false">O21/(MIN(O9,O10)*O8)</f>
        <v>0.201896942402508</v>
      </c>
      <c r="P26" s="15" t="n">
        <f aca="false">P21/(MIN(P9,P10)*P8)</f>
        <v>0.22528095335461</v>
      </c>
      <c r="Q26" s="15" t="n">
        <f aca="false">Q21/(MIN(Q9,Q10)*Q8)</f>
        <v>0.209386425726315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1"/>
    <col collapsed="false" customWidth="true" hidden="false" outlineLevel="0" max="17" min="3" style="1" width="9.52"/>
    <col collapsed="false" customWidth="true" hidden="false" outlineLevel="0" max="18" min="18" style="1" width="55"/>
  </cols>
  <sheetData>
    <row r="1" customFormat="false" ht="15.75" hidden="false" customHeight="true" outlineLevel="0" collapsed="false">
      <c r="A1" s="2" t="s">
        <v>427</v>
      </c>
    </row>
    <row r="2" customFormat="false" ht="15" hidden="false" customHeight="true" outlineLevel="0" collapsed="false">
      <c r="A2" s="5" t="s">
        <v>428</v>
      </c>
    </row>
    <row r="4" customFormat="false" ht="15" hidden="false" customHeight="true" outlineLevel="0" collapsed="false">
      <c r="A4" s="11" t="s">
        <v>380</v>
      </c>
      <c r="B4" s="12"/>
      <c r="C4" s="12" t="s">
        <v>13</v>
      </c>
      <c r="D4" s="12" t="s">
        <v>65</v>
      </c>
      <c r="E4" s="12" t="s">
        <v>66</v>
      </c>
      <c r="F4" s="12" t="s">
        <v>67</v>
      </c>
      <c r="G4" s="12" t="s">
        <v>68</v>
      </c>
      <c r="H4" s="12" t="s">
        <v>69</v>
      </c>
      <c r="I4" s="12" t="s">
        <v>70</v>
      </c>
      <c r="J4" s="12" t="s">
        <v>71</v>
      </c>
      <c r="K4" s="12" t="s">
        <v>72</v>
      </c>
      <c r="L4" s="12" t="s">
        <v>73</v>
      </c>
      <c r="M4" s="12" t="s">
        <v>74</v>
      </c>
      <c r="N4" s="12" t="s">
        <v>75</v>
      </c>
      <c r="O4" s="12" t="s">
        <v>31</v>
      </c>
      <c r="P4" s="12" t="s">
        <v>32</v>
      </c>
      <c r="Q4" s="12" t="s">
        <v>33</v>
      </c>
      <c r="R4" s="12" t="s">
        <v>382</v>
      </c>
    </row>
    <row r="5" customFormat="false" ht="15" hidden="false" customHeight="true" outlineLevel="0" collapsed="false">
      <c r="A5" s="8" t="s">
        <v>429</v>
      </c>
      <c r="O5" s="50" t="n">
        <f aca="false">Assumptions!$O$18</f>
        <v>8</v>
      </c>
      <c r="P5" s="50" t="n">
        <f aca="false">Assumptions!$P$18</f>
        <v>9</v>
      </c>
      <c r="Q5" s="50" t="n">
        <f aca="false">Assumptions!$Q$18</f>
        <v>5</v>
      </c>
    </row>
    <row r="6" customFormat="false" ht="15" hidden="false" customHeight="true" outlineLevel="0" collapsed="false">
      <c r="A6" s="8" t="s">
        <v>430</v>
      </c>
      <c r="O6" s="46" t="n">
        <f aca="false">6+SUM($O$5:O5)</f>
        <v>14</v>
      </c>
      <c r="P6" s="46" t="n">
        <f aca="false">6+SUM($O$5:P5)</f>
        <v>23</v>
      </c>
      <c r="Q6" s="46" t="n">
        <f aca="false">6+SUM($O$5:Q5)</f>
        <v>28</v>
      </c>
      <c r="R6" s="7" t="s">
        <v>431</v>
      </c>
    </row>
    <row r="7" customFormat="false" ht="15" hidden="false" customHeight="true" outlineLevel="0" collapsed="false">
      <c r="A7" s="8" t="s">
        <v>432</v>
      </c>
      <c r="O7" s="41" t="n">
        <f aca="false">(Assumptions!$B$19+(Assumptions!$O$19-Assumptions!$B$19)*Assumptions!$B$111)*(1+Assumptions!$B$109)*((Assumptions!$B$65+Assumptions!$B$106/100)/Assumptions!$B$65)</f>
        <v>1.2</v>
      </c>
      <c r="P7" s="41" t="n">
        <f aca="false">(Assumptions!$B$19+(Assumptions!$P$19-Assumptions!$B$19)*Assumptions!$B$111)*(1+Assumptions!$B$109)*((Assumptions!$B$65+Assumptions!$B$106/100)/Assumptions!$B$65)</f>
        <v>1.2</v>
      </c>
      <c r="Q7" s="41" t="n">
        <f aca="false">(Assumptions!$B$19+(Assumptions!$Q$19-Assumptions!$B$19)*Assumptions!$B$111)*(1+Assumptions!$B$109)*((Assumptions!$B$65+Assumptions!$B$106/100)/Assumptions!$B$65)</f>
        <v>1.2</v>
      </c>
    </row>
    <row r="8" customFormat="false" ht="15" hidden="false" customHeight="true" outlineLevel="0" collapsed="false">
      <c r="A8" s="8" t="s">
        <v>433</v>
      </c>
      <c r="O8" s="41" t="n">
        <f aca="false">Assumptions!$B$60*(1+Assumptions!$B$61)^0*((Assumptions!$B$65+Assumptions!$B$106/100)/Assumptions!$B$65)</f>
        <v>2.256</v>
      </c>
      <c r="P8" s="41" t="n">
        <f aca="false">Assumptions!$B$60*(1+Assumptions!$B$61)^1*((Assumptions!$B$65+Assumptions!$B$106/100)/Assumptions!$B$65)</f>
        <v>2.4816</v>
      </c>
      <c r="Q8" s="41" t="n">
        <f aca="false">Assumptions!$B$60*(1+Assumptions!$B$61)^2*((Assumptions!$B$65+Assumptions!$B$106/100)/Assumptions!$B$65)</f>
        <v>2.72976</v>
      </c>
    </row>
    <row r="9" customFormat="false" ht="15" hidden="false" customHeight="true" outlineLevel="0" collapsed="false">
      <c r="A9" s="8" t="s">
        <v>434</v>
      </c>
      <c r="O9" s="41" t="n">
        <f aca="false">O5*O7*Assumptions!$B$62</f>
        <v>1.44</v>
      </c>
      <c r="P9" s="41" t="n">
        <f aca="false">O5*P7*Assumptions!$B$63</f>
        <v>5.76</v>
      </c>
      <c r="Q9" s="41" t="n">
        <f aca="false">O5*Q7*Assumptions!$B$64</f>
        <v>9.6</v>
      </c>
    </row>
    <row r="10" customFormat="false" ht="15" hidden="false" customHeight="true" outlineLevel="0" collapsed="false">
      <c r="A10" s="8" t="s">
        <v>435</v>
      </c>
      <c r="O10" s="41" t="n">
        <v>0</v>
      </c>
      <c r="P10" s="41" t="n">
        <f aca="false">P5*P7*Assumptions!$B$62</f>
        <v>1.62</v>
      </c>
      <c r="Q10" s="41" t="n">
        <f aca="false">P5*Q7*Assumptions!$B$63</f>
        <v>6.48</v>
      </c>
    </row>
    <row r="11" customFormat="false" ht="15" hidden="false" customHeight="true" outlineLevel="0" collapsed="false">
      <c r="A11" s="8" t="s">
        <v>436</v>
      </c>
      <c r="O11" s="41" t="n">
        <v>0</v>
      </c>
      <c r="P11" s="41" t="n">
        <v>0</v>
      </c>
      <c r="Q11" s="41" t="n">
        <f aca="false">Q5*Q7*Assumptions!$B$62</f>
        <v>0.9</v>
      </c>
    </row>
    <row r="12" customFormat="false" ht="15" hidden="false" customHeight="true" outlineLevel="0" collapsed="false">
      <c r="A12" s="4" t="s">
        <v>437</v>
      </c>
      <c r="O12" s="22" t="n">
        <f aca="false">SUM(O8:O11)</f>
        <v>3.696</v>
      </c>
      <c r="P12" s="22" t="n">
        <f aca="false">SUM(P8:P11)</f>
        <v>9.8616</v>
      </c>
      <c r="Q12" s="22" t="n">
        <f aca="false">SUM(Q8:Q11)</f>
        <v>19.70976</v>
      </c>
      <c r="R12" s="7" t="s">
        <v>438</v>
      </c>
    </row>
    <row r="13" customFormat="false" ht="15" hidden="false" customHeight="true" outlineLevel="0" collapsed="false">
      <c r="A13" s="8" t="s">
        <v>439</v>
      </c>
      <c r="O13" s="15" t="n">
        <f aca="false">O12/(O12+Bookings!O14)</f>
        <v>0.0845448791474143</v>
      </c>
      <c r="P13" s="15" t="n">
        <f aca="false">P12/(P12+Bookings!P14)</f>
        <v>0.151608649907202</v>
      </c>
      <c r="Q13" s="15" t="n">
        <f aca="false">Q12/(Q12+Bookings!Q14)</f>
        <v>0.226682549038565</v>
      </c>
    </row>
    <row r="14" customFormat="false" ht="15" hidden="false" customHeight="true" outlineLevel="0" collapsed="false">
      <c r="A14" s="8" t="s">
        <v>440</v>
      </c>
      <c r="O14" s="41" t="n">
        <f aca="false">O12*Assumptions!$B$71</f>
        <v>0.606144</v>
      </c>
      <c r="P14" s="41" t="n">
        <f aca="false">P12*Assumptions!$B$72</f>
        <v>1.676472</v>
      </c>
      <c r="Q14" s="41" t="n">
        <f aca="false">Q12*Assumptions!$B$73</f>
        <v>3.46891776</v>
      </c>
    </row>
    <row r="15" customFormat="false" ht="15" hidden="false" customHeight="true" outlineLevel="0" collapsed="false">
      <c r="A15" s="8" t="s">
        <v>441</v>
      </c>
      <c r="O15" s="41" t="n">
        <f aca="false">0</f>
        <v>0</v>
      </c>
      <c r="P15" s="41" t="n">
        <f aca="false">O12*Assumptions!$B$74</f>
        <v>0.24024</v>
      </c>
      <c r="Q15" s="41" t="n">
        <f aca="false">(O12+P12)*Assumptions!$B$75</f>
        <v>0.949032</v>
      </c>
    </row>
    <row r="16" customFormat="false" ht="15" hidden="false" customHeight="true" outlineLevel="0" collapsed="false">
      <c r="A16" s="4" t="s">
        <v>442</v>
      </c>
      <c r="O16" s="22" t="n">
        <f aca="false">O14+O15</f>
        <v>0.606144</v>
      </c>
      <c r="P16" s="22" t="n">
        <f aca="false">P14+P15</f>
        <v>1.916712</v>
      </c>
      <c r="Q16" s="22" t="n">
        <f aca="false">Q14+Q15</f>
        <v>4.41794976</v>
      </c>
    </row>
    <row r="17" customFormat="false" ht="15" hidden="false" customHeight="true" outlineLevel="0" collapsed="false">
      <c r="A17" s="8" t="s">
        <v>443</v>
      </c>
      <c r="O17" s="42" t="n">
        <f aca="false">Assumptions!$B$76</f>
        <v>2.44</v>
      </c>
      <c r="P17" s="42" t="n">
        <f aca="false">Assumptions!$B$77</f>
        <v>3.46</v>
      </c>
      <c r="Q17" s="42" t="n">
        <f aca="false">Assumptions!$B$78</f>
        <v>4</v>
      </c>
    </row>
    <row r="18" customFormat="false" ht="15" hidden="false" customHeight="true" outlineLevel="0" collapsed="false">
      <c r="A18" s="8" t="s">
        <v>444</v>
      </c>
      <c r="O18" s="42" t="n">
        <f aca="false">Assumptions!$B$79</f>
        <v>1.5</v>
      </c>
      <c r="P18" s="42" t="n">
        <f aca="false">Assumptions!$B$80</f>
        <v>2</v>
      </c>
      <c r="Q18" s="42" t="n">
        <f aca="false">Assumptions!$B$81</f>
        <v>2.5</v>
      </c>
    </row>
    <row r="19" customFormat="false" ht="15" hidden="false" customHeight="true" outlineLevel="0" collapsed="false">
      <c r="A19" s="8" t="s">
        <v>445</v>
      </c>
      <c r="O19" s="41" t="n">
        <f aca="false">O12*Assumptions!$B$82*Assumptions!$B$85</f>
        <v>2.424576</v>
      </c>
      <c r="P19" s="41" t="n">
        <f aca="false">P12*Assumptions!$B$83*Assumptions!$B$85</f>
        <v>5.6605584</v>
      </c>
      <c r="Q19" s="41" t="n">
        <f aca="false">Q12*Assumptions!$B$84*Assumptions!$B$85</f>
        <v>9.69720192</v>
      </c>
    </row>
    <row r="20" customFormat="false" ht="15" hidden="false" customHeight="true" outlineLevel="0" collapsed="false">
      <c r="A20" s="8" t="s">
        <v>446</v>
      </c>
      <c r="O20" s="22" t="n">
        <f aca="false">O16+O17+O18+O19</f>
        <v>6.97072</v>
      </c>
      <c r="P20" s="22" t="n">
        <f aca="false">P16+P17+P18+P19</f>
        <v>13.0372704</v>
      </c>
      <c r="Q20" s="22" t="n">
        <f aca="false">Q16+Q17+Q18+Q19</f>
        <v>20.61515168</v>
      </c>
    </row>
    <row r="21" customFormat="false" ht="15" hidden="false" customHeight="true" outlineLevel="0" collapsed="false">
      <c r="A21" s="8" t="s">
        <v>447</v>
      </c>
      <c r="O21" s="41" t="n">
        <f aca="false">O12*Assumptions!$B$85</f>
        <v>6.06144</v>
      </c>
      <c r="P21" s="41" t="n">
        <f aca="false">P12*Assumptions!$B$85</f>
        <v>16.173024</v>
      </c>
      <c r="Q21" s="41" t="n">
        <f aca="false">Q12*Assumptions!$B$85</f>
        <v>32.3240064</v>
      </c>
    </row>
    <row r="22" customFormat="false" ht="15" hidden="false" customHeight="true" outlineLevel="0" collapsed="false">
      <c r="A22" s="4" t="s">
        <v>448</v>
      </c>
      <c r="O22" s="22" t="n">
        <f aca="false">O21-O20</f>
        <v>-0.909280000000001</v>
      </c>
      <c r="P22" s="22" t="n">
        <f aca="false">P21-P20</f>
        <v>3.1357536</v>
      </c>
      <c r="Q22" s="22" t="n">
        <f aca="false">Q21-Q20</f>
        <v>11.70885472</v>
      </c>
    </row>
    <row r="23" customFormat="false" ht="15" hidden="false" customHeight="true" outlineLevel="0" collapsed="false">
      <c r="A23" s="8" t="s">
        <v>449</v>
      </c>
      <c r="O23" s="41" t="n">
        <f aca="false">O12*PnL!O12-O20</f>
        <v>-4.43040148173098</v>
      </c>
      <c r="P23" s="41" t="n">
        <f aca="false">P12*PnL!P12-P20</f>
        <v>-6.33984720071736</v>
      </c>
      <c r="Q23" s="41" t="n">
        <f aca="false">Q12*PnL!Q12-Q20</f>
        <v>-7.12571734958121</v>
      </c>
    </row>
    <row r="24" customFormat="false" ht="15" hidden="false" customHeight="true" outlineLevel="0" collapsed="false">
      <c r="A24" s="4" t="s">
        <v>450</v>
      </c>
      <c r="O24" s="22" t="n">
        <f aca="false">(O17+O18)/(O6*(Assumptions!$B$85*(1-Assumptions!$B$82)-Assumptions!$B$71))</f>
        <v>0.343205574912892</v>
      </c>
      <c r="P24" s="22" t="n">
        <f aca="false">(P17+P18)/(P6*(Assumptions!$B$85*(1-Assumptions!$B$83)-Assumptions!$B$72))</f>
        <v>0.264945652173913</v>
      </c>
      <c r="Q24" s="22" t="n">
        <f aca="false">(Q17+Q18)/(Q6*(Assumptions!$B$85*(1-Assumptions!$B$84)-Assumptions!$B$73))</f>
        <v>0.238830099941211</v>
      </c>
      <c r="R24" s="7" t="s">
        <v>451</v>
      </c>
    </row>
    <row r="25" customFormat="false" ht="15" hidden="false" customHeight="true" outlineLevel="0" collapsed="false">
      <c r="A25" s="8" t="s">
        <v>452</v>
      </c>
      <c r="O25" s="41" t="n">
        <f aca="false">O12/(Assumptions!$B$65+Assumptions!$B$106/100)</f>
        <v>10.8705882352941</v>
      </c>
      <c r="P25" s="41" t="n">
        <f aca="false">P12/(Assumptions!$B$65+Assumptions!$B$106/100)</f>
        <v>29.0047058823529</v>
      </c>
      <c r="Q25" s="41" t="n">
        <f aca="false">Q12/(Assumptions!$B$65+Assumptions!$B$106/100)</f>
        <v>57.9698823529412</v>
      </c>
    </row>
    <row r="26" customFormat="false" ht="15" hidden="false" customHeight="true" outlineLevel="0" collapsed="false">
      <c r="A26" s="8" t="s">
        <v>453</v>
      </c>
      <c r="O26" s="41" t="n">
        <f aca="false">O12/MAX(0.01,O7)*10*Assumptions!$B$66</f>
        <v>11.396</v>
      </c>
      <c r="P26" s="41" t="n">
        <f aca="false">P12/MAX(0.01,P7)*10*Assumptions!$B$66</f>
        <v>30.4066</v>
      </c>
      <c r="Q26" s="41" t="n">
        <f aca="false">Q12/MAX(0.01,Q7)*10*Assumptions!$B$66</f>
        <v>60.77176</v>
      </c>
      <c r="R26" s="7" t="s">
        <v>454</v>
      </c>
    </row>
    <row r="28" customFormat="false" ht="15" hidden="false" customHeight="true" outlineLevel="0" collapsed="false">
      <c r="A28" s="4" t="s">
        <v>455</v>
      </c>
      <c r="C28" s="22" t="n">
        <f aca="false">O12*Assumptions!$B$67</f>
        <v>0.7392</v>
      </c>
      <c r="D28" s="22" t="n">
        <f aca="false">O12*Assumptions!$B$68</f>
        <v>0.85008</v>
      </c>
      <c r="E28" s="22" t="n">
        <f aca="false">O12*Assumptions!$B$69</f>
        <v>0.99792</v>
      </c>
      <c r="F28" s="22" t="n">
        <f aca="false">O12*Assumptions!$B$70</f>
        <v>1.1088</v>
      </c>
      <c r="G28" s="22" t="n">
        <f aca="false">P12*Assumptions!$B$67</f>
        <v>1.97232</v>
      </c>
      <c r="H28" s="22" t="n">
        <f aca="false">P12*Assumptions!$B$68</f>
        <v>2.268168</v>
      </c>
      <c r="I28" s="22" t="n">
        <f aca="false">P12*Assumptions!$B$69</f>
        <v>2.662632</v>
      </c>
      <c r="J28" s="22" t="n">
        <f aca="false">P12*Assumptions!$B$70</f>
        <v>2.95848</v>
      </c>
      <c r="K28" s="22" t="n">
        <f aca="false">Q12*Assumptions!$B$67</f>
        <v>3.941952</v>
      </c>
      <c r="L28" s="22" t="n">
        <f aca="false">Q12*Assumptions!$B$68</f>
        <v>4.5332448</v>
      </c>
      <c r="M28" s="22" t="n">
        <f aca="false">Q12*Assumptions!$B$69</f>
        <v>5.3216352</v>
      </c>
      <c r="N28" s="22" t="n">
        <f aca="false">Q12*Assumptions!$B$70</f>
        <v>5.912928</v>
      </c>
      <c r="O28" s="22" t="n">
        <f aca="false">SUM(C28:F28)</f>
        <v>3.696</v>
      </c>
      <c r="P28" s="22" t="n">
        <f aca="false">SUM(G28:J28)</f>
        <v>9.8616</v>
      </c>
      <c r="Q28" s="22" t="n">
        <f aca="false">SUM(K28:N28)</f>
        <v>19.70976</v>
      </c>
    </row>
    <row r="29" customFormat="false" ht="15" hidden="false" customHeight="true" outlineLevel="0" collapsed="false">
      <c r="A29" s="8" t="s">
        <v>456</v>
      </c>
      <c r="C29" s="41" t="n">
        <f aca="false">O16*Assumptions!$B$67</f>
        <v>0.1212288</v>
      </c>
      <c r="D29" s="41" t="n">
        <f aca="false">O16*Assumptions!$B$68</f>
        <v>0.13941312</v>
      </c>
      <c r="E29" s="41" t="n">
        <f aca="false">O16*Assumptions!$B$69</f>
        <v>0.16365888</v>
      </c>
      <c r="F29" s="41" t="n">
        <f aca="false">O16*Assumptions!$B$70</f>
        <v>0.1818432</v>
      </c>
      <c r="G29" s="41" t="n">
        <f aca="false">P16*Assumptions!$B$67</f>
        <v>0.3833424</v>
      </c>
      <c r="H29" s="41" t="n">
        <f aca="false">P16*Assumptions!$B$68</f>
        <v>0.44084376</v>
      </c>
      <c r="I29" s="41" t="n">
        <f aca="false">P16*Assumptions!$B$69</f>
        <v>0.51751224</v>
      </c>
      <c r="J29" s="41" t="n">
        <f aca="false">P16*Assumptions!$B$70</f>
        <v>0.5750136</v>
      </c>
      <c r="K29" s="41" t="n">
        <f aca="false">Q16*Assumptions!$B$67</f>
        <v>0.883589952</v>
      </c>
      <c r="L29" s="41" t="n">
        <f aca="false">Q16*Assumptions!$B$68</f>
        <v>1.0161284448</v>
      </c>
      <c r="M29" s="41" t="n">
        <f aca="false">Q16*Assumptions!$B$69</f>
        <v>1.1928464352</v>
      </c>
      <c r="N29" s="41" t="n">
        <f aca="false">Q16*Assumptions!$B$70</f>
        <v>1.325384928</v>
      </c>
    </row>
    <row r="30" customFormat="false" ht="15" hidden="false" customHeight="true" outlineLevel="0" collapsed="false">
      <c r="A30" s="8" t="s">
        <v>457</v>
      </c>
      <c r="O30" s="47" t="n">
        <f aca="false">ABS(SUM(C28:N28)-SUM(O12:Q12))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1"/>
    <col collapsed="false" customWidth="true" hidden="false" outlineLevel="0" max="17" min="3" style="1" width="9.52"/>
    <col collapsed="false" customWidth="true" hidden="false" outlineLevel="0" max="18" min="18" style="1" width="55"/>
  </cols>
  <sheetData>
    <row r="1" customFormat="false" ht="15.75" hidden="false" customHeight="true" outlineLevel="0" collapsed="false">
      <c r="A1" s="2" t="s">
        <v>458</v>
      </c>
    </row>
    <row r="2" customFormat="false" ht="15" hidden="false" customHeight="true" outlineLevel="0" collapsed="false">
      <c r="A2" s="5" t="s">
        <v>459</v>
      </c>
    </row>
    <row r="4" customFormat="false" ht="15" hidden="false" customHeight="true" outlineLevel="0" collapsed="false">
      <c r="A4" s="11" t="s">
        <v>380</v>
      </c>
      <c r="B4" s="12" t="s">
        <v>381</v>
      </c>
      <c r="C4" s="12" t="s">
        <v>13</v>
      </c>
      <c r="D4" s="12" t="s">
        <v>65</v>
      </c>
      <c r="E4" s="12" t="s">
        <v>66</v>
      </c>
      <c r="F4" s="12" t="s">
        <v>67</v>
      </c>
      <c r="G4" s="12" t="s">
        <v>68</v>
      </c>
      <c r="H4" s="12" t="s">
        <v>69</v>
      </c>
      <c r="I4" s="12" t="s">
        <v>70</v>
      </c>
      <c r="J4" s="12" t="s">
        <v>71</v>
      </c>
      <c r="K4" s="12" t="s">
        <v>72</v>
      </c>
      <c r="L4" s="12" t="s">
        <v>73</v>
      </c>
      <c r="M4" s="12" t="s">
        <v>74</v>
      </c>
      <c r="N4" s="12" t="s">
        <v>75</v>
      </c>
      <c r="O4" s="12" t="s">
        <v>31</v>
      </c>
      <c r="P4" s="12" t="s">
        <v>32</v>
      </c>
      <c r="Q4" s="12" t="s">
        <v>33</v>
      </c>
      <c r="R4" s="12" t="s">
        <v>382</v>
      </c>
    </row>
    <row r="5" customFormat="false" ht="15" hidden="false" customHeight="true" outlineLevel="0" collapsed="false">
      <c r="A5" s="4" t="s">
        <v>460</v>
      </c>
      <c r="C5" s="54" t="n">
        <f aca="false">B12</f>
        <v>310</v>
      </c>
      <c r="D5" s="54" t="n">
        <f aca="false">C12</f>
        <v>318.184125</v>
      </c>
      <c r="E5" s="54" t="n">
        <f aca="false">D12</f>
        <v>328.918268269908</v>
      </c>
      <c r="F5" s="54" t="n">
        <f aca="false">E12</f>
        <v>340.7261730301</v>
      </c>
      <c r="G5" s="54" t="n">
        <f aca="false">F12</f>
        <v>350.944925746388</v>
      </c>
      <c r="H5" s="54" t="n">
        <f aca="false">G12</f>
        <v>366.569056026814</v>
      </c>
      <c r="I5" s="54" t="n">
        <f aca="false">H12</f>
        <v>383.852244080664</v>
      </c>
      <c r="J5" s="54" t="n">
        <f aca="false">I12</f>
        <v>402.568133160443</v>
      </c>
      <c r="K5" s="54" t="n">
        <f aca="false">J12</f>
        <v>422.678654617696</v>
      </c>
      <c r="L5" s="54" t="n">
        <f aca="false">K12</f>
        <v>445.977872338385</v>
      </c>
      <c r="M5" s="54" t="n">
        <f aca="false">L12</f>
        <v>470.778856101135</v>
      </c>
      <c r="N5" s="54" t="n">
        <f aca="false">M12</f>
        <v>497.339120387676</v>
      </c>
      <c r="O5" s="55" t="n">
        <f aca="false">C5</f>
        <v>310</v>
      </c>
      <c r="P5" s="55" t="n">
        <f aca="false">G5</f>
        <v>350.944925746388</v>
      </c>
      <c r="Q5" s="55" t="n">
        <f aca="false">K5</f>
        <v>422.678654617696</v>
      </c>
    </row>
    <row r="6" customFormat="false" ht="15" hidden="false" customHeight="true" outlineLevel="0" collapsed="false">
      <c r="A6" s="8" t="s">
        <v>461</v>
      </c>
      <c r="C6" s="42" t="n">
        <f aca="false">Bookings!C14</f>
        <v>7.9708</v>
      </c>
      <c r="D6" s="42" t="n">
        <f aca="false">Bookings!D14</f>
        <v>10.1155763636576</v>
      </c>
      <c r="E6" s="42" t="n">
        <f aca="false">Bookings!E14</f>
        <v>10.730130193125</v>
      </c>
      <c r="F6" s="42" t="n">
        <f aca="false">Bookings!F14</f>
        <v>11.20392</v>
      </c>
      <c r="G6" s="42" t="n">
        <f aca="false">Bookings!G14</f>
        <v>12.7744479660602</v>
      </c>
      <c r="H6" s="42" t="n">
        <f aca="false">Bookings!H14</f>
        <v>13.64038609375</v>
      </c>
      <c r="I6" s="42" t="n">
        <f aca="false">Bookings!I14</f>
        <v>14.133995859375</v>
      </c>
      <c r="J6" s="42" t="n">
        <f aca="false">Bookings!J14</f>
        <v>14.635990625</v>
      </c>
      <c r="K6" s="42" t="n">
        <f aca="false">Bookings!K14</f>
        <v>16.319262890625</v>
      </c>
      <c r="L6" s="42" t="n">
        <f aca="false">Bookings!L14</f>
        <v>16.64416875</v>
      </c>
      <c r="M6" s="42" t="n">
        <f aca="false">Bookings!M14</f>
        <v>16.972195703125</v>
      </c>
      <c r="N6" s="42" t="n">
        <f aca="false">Bookings!N14</f>
        <v>17.30334375</v>
      </c>
      <c r="O6" s="41" t="n">
        <f aca="false">SUM(C6:F6)</f>
        <v>40.0204265567826</v>
      </c>
      <c r="P6" s="41" t="n">
        <f aca="false">SUM(G6:J6)</f>
        <v>55.1848205441852</v>
      </c>
      <c r="Q6" s="41" t="n">
        <f aca="false">SUM(K6:N6)</f>
        <v>67.23897109375</v>
      </c>
    </row>
    <row r="7" customFormat="false" ht="15" hidden="false" customHeight="true" outlineLevel="0" collapsed="false">
      <c r="A7" s="8" t="s">
        <v>462</v>
      </c>
      <c r="C7" s="42" t="n">
        <f aca="false">Channel!C28</f>
        <v>0.7392</v>
      </c>
      <c r="D7" s="42" t="n">
        <f aca="false">Channel!D28</f>
        <v>0.85008</v>
      </c>
      <c r="E7" s="42" t="n">
        <f aca="false">Channel!E28</f>
        <v>0.99792</v>
      </c>
      <c r="F7" s="42" t="n">
        <f aca="false">Channel!F28</f>
        <v>1.1088</v>
      </c>
      <c r="G7" s="42" t="n">
        <f aca="false">Channel!G28</f>
        <v>1.97232</v>
      </c>
      <c r="H7" s="42" t="n">
        <f aca="false">Channel!H28</f>
        <v>2.268168</v>
      </c>
      <c r="I7" s="42" t="n">
        <f aca="false">Channel!I28</f>
        <v>2.662632</v>
      </c>
      <c r="J7" s="42" t="n">
        <f aca="false">Channel!J28</f>
        <v>2.95848</v>
      </c>
      <c r="K7" s="42" t="n">
        <f aca="false">Channel!K28</f>
        <v>3.941952</v>
      </c>
      <c r="L7" s="42" t="n">
        <f aca="false">Channel!L28</f>
        <v>4.5332448</v>
      </c>
      <c r="M7" s="42" t="n">
        <f aca="false">Channel!M28</f>
        <v>5.3216352</v>
      </c>
      <c r="N7" s="42" t="n">
        <f aca="false">Channel!N28</f>
        <v>5.912928</v>
      </c>
      <c r="O7" s="41" t="n">
        <f aca="false">SUM(C7:F7)</f>
        <v>3.696</v>
      </c>
      <c r="P7" s="41" t="n">
        <f aca="false">SUM(G7:J7)</f>
        <v>9.8616</v>
      </c>
      <c r="Q7" s="41" t="n">
        <f aca="false">SUM(K7:N7)</f>
        <v>19.70976</v>
      </c>
    </row>
    <row r="8" customFormat="false" ht="15" hidden="false" customHeight="true" outlineLevel="0" collapsed="false">
      <c r="A8" s="8" t="s">
        <v>463</v>
      </c>
      <c r="C8" s="41" t="n">
        <f aca="false">C14*(Assumptions!$B$15+((Assumptions!$B$15+(Assumptions!$O$15-Assumptions!$B$15)*Assumptions!$B$111)-Assumptions!$B$15)*1/4)/4</f>
        <v>6.16025</v>
      </c>
      <c r="D8" s="41" t="n">
        <f aca="false">D14*(Assumptions!$B$15+((Assumptions!$B$15+(Assumptions!$O$15-Assumptions!$B$15)*Assumptions!$B$111)-Assumptions!$B$15)*2/4)/4</f>
        <v>6.40519559375</v>
      </c>
      <c r="E8" s="41" t="n">
        <f aca="false">E14*(Assumptions!$B$15+((Assumptions!$B$15+(Assumptions!$O$15-Assumptions!$B$15)*Assumptions!$B$111)-Assumptions!$B$15)*3/4)/4</f>
        <v>6.70778363366806</v>
      </c>
      <c r="F8" s="41" t="n">
        <f aca="false">F14*(Assumptions!$B$15+((Assumptions!$B$15+(Assumptions!$O$15-Assumptions!$B$15)*Assumptions!$B$111)-Assumptions!$B$15)*4/4)/4</f>
        <v>7.03855617688963</v>
      </c>
      <c r="G8" s="41" t="n">
        <f aca="false">G14*((Assumptions!$B$15+(Assumptions!$O$15-Assumptions!$B$15)*Assumptions!$B$111)+((Assumptions!$B$15+(Assumptions!$P$15-Assumptions!$B$15)*Assumptions!$B$111)-(Assumptions!$B$15+(Assumptions!$O$15-Assumptions!$B$15)*Assumptions!$B$111))*1/4)/4</f>
        <v>7.67692025070223</v>
      </c>
      <c r="H8" s="41" t="n">
        <f aca="false">H14*((Assumptions!$B$15+(Assumptions!$O$15-Assumptions!$B$15)*Assumptions!$B$111)+((Assumptions!$B$15+(Assumptions!$P$15-Assumptions!$B$15)*Assumptions!$B$111)-(Assumptions!$B$15+(Assumptions!$O$15-Assumptions!$B$15)*Assumptions!$B$111))*2/4)/4</f>
        <v>8.24780376060331</v>
      </c>
      <c r="I8" s="41" t="n">
        <f aca="false">I14*((Assumptions!$B$15+(Assumptions!$O$15-Assumptions!$B$15)*Assumptions!$B$111)+((Assumptions!$B$15+(Assumptions!$P$15-Assumptions!$B$15)*Assumptions!$B$111)-(Assumptions!$B$15+(Assumptions!$O$15-Assumptions!$B$15)*Assumptions!$B$111))*3/4)/4</f>
        <v>8.87658314436536</v>
      </c>
      <c r="J8" s="41" t="n">
        <f aca="false">J14*((Assumptions!$B$15+(Assumptions!$O$15-Assumptions!$B$15)*Assumptions!$B$111)+((Assumptions!$B$15+(Assumptions!$P$15-Assumptions!$B$15)*Assumptions!$B$111)-(Assumptions!$B$15+(Assumptions!$O$15-Assumptions!$B$15)*Assumptions!$B$111))*4/4)/4</f>
        <v>9.56099316256052</v>
      </c>
      <c r="K8" s="41" t="n">
        <f aca="false">K14*((Assumptions!$B$15+(Assumptions!$P$15-Assumptions!$B$15)*Assumptions!$B$111)+((Assumptions!$B$15+(Assumptions!$Q$15-Assumptions!$B$15)*Assumptions!$B$111)-(Assumptions!$B$15+(Assumptions!$P$15-Assumptions!$B$15)*Assumptions!$B$111))*1/4)/4</f>
        <v>10.3027922063063</v>
      </c>
      <c r="L8" s="41" t="n">
        <f aca="false">L14*((Assumptions!$B$15+(Assumptions!$P$15-Assumptions!$B$15)*Assumptions!$B$111)+((Assumptions!$B$15+(Assumptions!$Q$15-Assumptions!$B$15)*Assumptions!$B$111)-(Assumptions!$B$15+(Assumptions!$P$15-Assumptions!$B$15)*Assumptions!$B$111))*2/4)/4</f>
        <v>11.1494468084596</v>
      </c>
      <c r="M8" s="41" t="n">
        <f aca="false">M14*((Assumptions!$B$15+(Assumptions!$P$15-Assumptions!$B$15)*Assumptions!$B$111)+((Assumptions!$B$15+(Assumptions!$Q$15-Assumptions!$B$15)*Assumptions!$B$111)-(Assumptions!$B$15+(Assumptions!$P$15-Assumptions!$B$15)*Assumptions!$B$111))*3/4)/4</f>
        <v>12.0637081875916</v>
      </c>
      <c r="N8" s="41" t="n">
        <f aca="false">N14*((Assumptions!$B$15+(Assumptions!$P$15-Assumptions!$B$15)*Assumptions!$B$111)+((Assumptions!$B$15+(Assumptions!$Q$15-Assumptions!$B$15)*Assumptions!$B$111)-(Assumptions!$B$15+(Assumptions!$P$15-Assumptions!$B$15)*Assumptions!$B$111))*4/4)/4</f>
        <v>13.0551519101765</v>
      </c>
      <c r="O8" s="41" t="n">
        <f aca="false">SUM(C8:F8)</f>
        <v>26.3117854043077</v>
      </c>
      <c r="P8" s="41" t="n">
        <f aca="false">SUM(G8:J8)</f>
        <v>34.3623003182314</v>
      </c>
      <c r="Q8" s="41" t="n">
        <f aca="false">SUM(K8:N8)</f>
        <v>46.571099112534</v>
      </c>
    </row>
    <row r="9" customFormat="false" ht="15" hidden="false" customHeight="true" outlineLevel="0" collapsed="false">
      <c r="A9" s="8" t="s">
        <v>464</v>
      </c>
      <c r="C9" s="41" t="n">
        <f aca="false">C14*(Assumptions!$B$16+((Assumptions!$B$16+(Assumptions!$O$16-Assumptions!$B$16)*Assumptions!$B$111)-Assumptions!$B$16)*1/4)/4</f>
        <v>2.42278125</v>
      </c>
      <c r="D9" s="41" t="n">
        <f aca="false">D14*(Assumptions!$B$16+((Assumptions!$B$16+(Assumptions!$O$16-Assumptions!$B$16)*Assumptions!$B$111)-Assumptions!$B$16)*2/4)/4</f>
        <v>2.430887484375</v>
      </c>
      <c r="E9" s="41" t="n">
        <f aca="false">E14*(Assumptions!$B$16+((Assumptions!$B$16+(Assumptions!$O$16-Assumptions!$B$16)*Assumptions!$B$111)-Assumptions!$B$16)*3/4)/4</f>
        <v>2.45552793732492</v>
      </c>
      <c r="F9" s="41" t="n">
        <f aca="false">F14*(Assumptions!$B$16+((Assumptions!$B$16+(Assumptions!$O$16-Assumptions!$B$16)*Assumptions!$B$111)-Assumptions!$B$16)*4/4)/4</f>
        <v>2.48419629772575</v>
      </c>
      <c r="G9" s="41" t="n">
        <f aca="false">G14*((Assumptions!$B$16+(Assumptions!$O$16-Assumptions!$B$16)*Assumptions!$B$111)+((Assumptions!$B$16+(Assumptions!$P$16-Assumptions!$B$16)*Assumptions!$B$111)-(Assumptions!$B$16+(Assumptions!$O$16-Assumptions!$B$16)*Assumptions!$B$111))*1/4)/4</f>
        <v>2.52241665380216</v>
      </c>
      <c r="H9" s="41" t="n">
        <f aca="false">H14*((Assumptions!$B$16+(Assumptions!$O$16-Assumptions!$B$16)*Assumptions!$B$111)+((Assumptions!$B$16+(Assumptions!$P$16-Assumptions!$B$16)*Assumptions!$B$111)-(Assumptions!$B$16+(Assumptions!$O$16-Assumptions!$B$16)*Assumptions!$B$111))*2/4)/4</f>
        <v>2.52016226018435</v>
      </c>
      <c r="I9" s="41" t="n">
        <f aca="false">I14*((Assumptions!$B$16+(Assumptions!$O$16-Assumptions!$B$16)*Assumptions!$B$111)+((Assumptions!$B$16+(Assumptions!$P$16-Assumptions!$B$16)*Assumptions!$B$111)-(Assumptions!$B$16+(Assumptions!$O$16-Assumptions!$B$16)*Assumptions!$B$111))*3/4)/4</f>
        <v>2.51903035177936</v>
      </c>
      <c r="J9" s="41" t="n">
        <f aca="false">J14*((Assumptions!$B$16+(Assumptions!$O$16-Assumptions!$B$16)*Assumptions!$B$111)+((Assumptions!$B$16+(Assumptions!$P$16-Assumptions!$B$16)*Assumptions!$B$111)-(Assumptions!$B$16+(Assumptions!$O$16-Assumptions!$B$16)*Assumptions!$B$111))*4/4)/4</f>
        <v>2.51605083225277</v>
      </c>
      <c r="K9" s="41" t="n">
        <f aca="false">K14*((Assumptions!$B$16+(Assumptions!$P$16-Assumptions!$B$16)*Assumptions!$B$111)+((Assumptions!$B$16+(Assumptions!$Q$16-Assumptions!$B$16)*Assumptions!$B$111)-(Assumptions!$B$16+(Assumptions!$P$16-Assumptions!$B$16)*Assumptions!$B$111))*1/4)/4</f>
        <v>2.6417415913606</v>
      </c>
      <c r="L9" s="41" t="n">
        <f aca="false">L14*((Assumptions!$B$16+(Assumptions!$P$16-Assumptions!$B$16)*Assumptions!$B$111)+((Assumptions!$B$16+(Assumptions!$Q$16-Assumptions!$B$16)*Assumptions!$B$111)-(Assumptions!$B$16+(Assumptions!$P$16-Assumptions!$B$16)*Assumptions!$B$111))*2/4)/4</f>
        <v>2.78736170211491</v>
      </c>
      <c r="M9" s="41" t="n">
        <f aca="false">M14*((Assumptions!$B$16+(Assumptions!$P$16-Assumptions!$B$16)*Assumptions!$B$111)+((Assumptions!$B$16+(Assumptions!$Q$16-Assumptions!$B$16)*Assumptions!$B$111)-(Assumptions!$B$16+(Assumptions!$P$16-Assumptions!$B$16)*Assumptions!$B$111))*3/4)/4</f>
        <v>2.94236785063209</v>
      </c>
      <c r="N9" s="41" t="n">
        <f aca="false">N14*((Assumptions!$B$16+(Assumptions!$P$16-Assumptions!$B$16)*Assumptions!$B$111)+((Assumptions!$B$16+(Assumptions!$Q$16-Assumptions!$B$16)*Assumptions!$B$111)-(Assumptions!$B$16+(Assumptions!$P$16-Assumptions!$B$16)*Assumptions!$B$111))*4/4)/4</f>
        <v>3.10836950242298</v>
      </c>
      <c r="O9" s="41" t="n">
        <f aca="false">SUM(C9:F9)</f>
        <v>9.79339296942567</v>
      </c>
      <c r="P9" s="41" t="n">
        <f aca="false">SUM(G9:J9)</f>
        <v>10.0776600980186</v>
      </c>
      <c r="Q9" s="41" t="n">
        <f aca="false">SUM(K9:N9)</f>
        <v>11.4798406465306</v>
      </c>
    </row>
    <row r="10" customFormat="false" ht="15" hidden="false" customHeight="true" outlineLevel="0" collapsed="false">
      <c r="A10" s="8" t="s">
        <v>465</v>
      </c>
      <c r="C10" s="41" t="n">
        <f aca="false">C14*MAX(0,(Assumptions!$B$17+((Assumptions!$B$17+(Assumptions!$O$17-Assumptions!$B$17)*Assumptions!$B$111)-Assumptions!$B$17)*1/4)+Assumptions!$B$110/100)/4</f>
        <v>4.26334375</v>
      </c>
      <c r="D10" s="41" t="n">
        <f aca="false">D14*MAX(0,(Assumptions!$B$17+((Assumptions!$B$17+(Assumptions!$O$17-Assumptions!$B$17)*Assumptions!$B$111)-Assumptions!$B$17)*2/4)+Assumptions!$B$110/100)/4</f>
        <v>4.205821203125</v>
      </c>
      <c r="E10" s="41" t="n">
        <f aca="false">E14*MAX(0,(Assumptions!$B$17+((Assumptions!$B$17+(Assumptions!$O$17-Assumptions!$B$17)*Assumptions!$B$111)-Assumptions!$B$17)*3/4)+Assumptions!$B$110/100)/4</f>
        <v>4.17240112927567</v>
      </c>
      <c r="F10" s="41" t="n">
        <f aca="false">F14*MAX(0,(Assumptions!$B$17+((Assumptions!$B$17+(Assumptions!$O$17-Assumptions!$B$17)*Assumptions!$B$111)-Assumptions!$B$17)*4/4)+Assumptions!$B$110/100)/4</f>
        <v>4.14032716287625</v>
      </c>
      <c r="G10" s="41" t="n">
        <f aca="false">G14*MAX(0,((Assumptions!$B$17+(Assumptions!$O$17-Assumptions!$B$17)*Assumptions!$B$111)+((Assumptions!$B$17+(Assumptions!$P$17-Assumptions!$B$17)*Assumptions!$B$111)-(Assumptions!$B$17+(Assumptions!$O$17-Assumptions!$B$17)*Assumptions!$B$111))*1/4)+Assumptions!$B$110/100)/4</f>
        <v>4.2771412825341</v>
      </c>
      <c r="H10" s="41" t="n">
        <f aca="false">H14*MAX(0,((Assumptions!$B$17+(Assumptions!$O$17-Assumptions!$B$17)*Assumptions!$B$111)+((Assumptions!$B$17+(Assumptions!$P$17-Assumptions!$B$17)*Assumptions!$B$111)-(Assumptions!$B$17+(Assumptions!$O$17-Assumptions!$B$17)*Assumptions!$B$111))*2/4)+Assumptions!$B$110/100)/4</f>
        <v>4.35300754031842</v>
      </c>
      <c r="I10" s="41" t="n">
        <f aca="false">I14*MAX(0,((Assumptions!$B$17+(Assumptions!$O$17-Assumptions!$B$17)*Assumptions!$B$111)+((Assumptions!$B$17+(Assumptions!$P$17-Assumptions!$B$17)*Assumptions!$B$111)-(Assumptions!$B$17+(Assumptions!$O$17-Assumptions!$B$17)*Assumptions!$B$111))*3/4)+Assumptions!$B$110/100)/4</f>
        <v>4.43829157218268</v>
      </c>
      <c r="J10" s="41" t="n">
        <f aca="false">J14*MAX(0,((Assumptions!$B$17+(Assumptions!$O$17-Assumptions!$B$17)*Assumptions!$B$111)+((Assumptions!$B$17+(Assumptions!$P$17-Assumptions!$B$17)*Assumptions!$B$111)-(Assumptions!$B$17+(Assumptions!$O$17-Assumptions!$B$17)*Assumptions!$B$111))*4/4)+Assumptions!$B$110/100)/4</f>
        <v>4.52889149805498</v>
      </c>
      <c r="K10" s="41" t="n">
        <f aca="false">K14*MAX(0,((Assumptions!$B$17+(Assumptions!$P$17-Assumptions!$B$17)*Assumptions!$B$111)+((Assumptions!$B$17+(Assumptions!$Q$17-Assumptions!$B$17)*Assumptions!$B$111)-(Assumptions!$B$17+(Assumptions!$P$17-Assumptions!$B$17)*Assumptions!$B$111))*1/4)+Assumptions!$B$110/100)/4</f>
        <v>4.62304778488104</v>
      </c>
      <c r="L10" s="41" t="n">
        <f aca="false">L14*MAX(0,((Assumptions!$B$17+(Assumptions!$P$17-Assumptions!$B$17)*Assumptions!$B$111)+((Assumptions!$B$17+(Assumptions!$Q$17-Assumptions!$B$17)*Assumptions!$B$111)-(Assumptions!$B$17+(Assumptions!$P$17-Assumptions!$B$17)*Assumptions!$B$111))*2/4)+Assumptions!$B$110/100)/4</f>
        <v>4.73851489359534</v>
      </c>
      <c r="M10" s="41" t="n">
        <f aca="false">M14*MAX(0,((Assumptions!$B$17+(Assumptions!$P$17-Assumptions!$B$17)*Assumptions!$B$111)+((Assumptions!$B$17+(Assumptions!$Q$17-Assumptions!$B$17)*Assumptions!$B$111)-(Assumptions!$B$17+(Assumptions!$P$17-Assumptions!$B$17)*Assumptions!$B$111))*3/4)+Assumptions!$B$110/100)/4</f>
        <v>4.85490695354295</v>
      </c>
      <c r="N10" s="41" t="n">
        <f aca="false">N14*MAX(0,((Assumptions!$B$17+(Assumptions!$P$17-Assumptions!$B$17)*Assumptions!$B$111)+((Assumptions!$B$17+(Assumptions!$Q$17-Assumptions!$B$17)*Assumptions!$B$111)-(Assumptions!$B$17+(Assumptions!$P$17-Assumptions!$B$17)*Assumptions!$B$111))*4/4)+Assumptions!$B$110/100)/4</f>
        <v>4.97339120387676</v>
      </c>
      <c r="O10" s="41" t="n">
        <f aca="false">SUM(C10:F10)</f>
        <v>16.7818932452769</v>
      </c>
      <c r="P10" s="41" t="n">
        <f aca="false">SUM(G10:J10)</f>
        <v>17.5973318930902</v>
      </c>
      <c r="Q10" s="41" t="n">
        <f aca="false">SUM(K10:N10)</f>
        <v>19.1898608358961</v>
      </c>
    </row>
    <row r="11" customFormat="false" ht="15" hidden="false" customHeight="true" outlineLevel="0" collapsed="false">
      <c r="A11" s="8" t="s">
        <v>466</v>
      </c>
      <c r="C11" s="41" t="n">
        <f aca="false">0</f>
        <v>0</v>
      </c>
      <c r="D11" s="41" t="n">
        <f aca="false">0</f>
        <v>0</v>
      </c>
      <c r="E11" s="41" t="n">
        <f aca="false">0</f>
        <v>0</v>
      </c>
      <c r="F11" s="42" t="n">
        <f aca="false">Inject4!$C$14</f>
        <v>2.508</v>
      </c>
      <c r="G11" s="41" t="n">
        <f aca="false">0</f>
        <v>0</v>
      </c>
      <c r="H11" s="41" t="n">
        <f aca="false">0</f>
        <v>0</v>
      </c>
      <c r="I11" s="41" t="n">
        <f aca="false">0</f>
        <v>0</v>
      </c>
      <c r="J11" s="41" t="n">
        <f aca="false">0</f>
        <v>0</v>
      </c>
      <c r="K11" s="41" t="n">
        <f aca="false">0</f>
        <v>0</v>
      </c>
      <c r="L11" s="41" t="n">
        <f aca="false">0</f>
        <v>0</v>
      </c>
      <c r="M11" s="41" t="n">
        <f aca="false">0</f>
        <v>0</v>
      </c>
      <c r="N11" s="41" t="n">
        <f aca="false">0</f>
        <v>0</v>
      </c>
      <c r="O11" s="41" t="n">
        <f aca="false">SUM(C11:F11)</f>
        <v>2.508</v>
      </c>
      <c r="P11" s="41" t="n">
        <f aca="false">SUM(G11:J11)</f>
        <v>0</v>
      </c>
      <c r="Q11" s="41" t="n">
        <f aca="false">SUM(K11:N11)</f>
        <v>0</v>
      </c>
    </row>
    <row r="12" customFormat="false" ht="15" hidden="false" customHeight="true" outlineLevel="0" collapsed="false">
      <c r="A12" s="4" t="s">
        <v>467</v>
      </c>
      <c r="B12" s="56" t="n">
        <v>310</v>
      </c>
      <c r="C12" s="55" t="n">
        <f aca="false">C5+C6+C7+C8-C9-C10-C11</f>
        <v>318.184125</v>
      </c>
      <c r="D12" s="55" t="n">
        <f aca="false">D5+D6+D7+D8-D9-D10-D11</f>
        <v>328.918268269908</v>
      </c>
      <c r="E12" s="55" t="n">
        <f aca="false">E5+E6+E7+E8-E9-E10-E11</f>
        <v>340.7261730301</v>
      </c>
      <c r="F12" s="55" t="n">
        <f aca="false">F5+F6+F7+F8-F9-F10-F11</f>
        <v>350.944925746388</v>
      </c>
      <c r="G12" s="55" t="n">
        <f aca="false">G5+G6+G7+G8-G9-G10-G11</f>
        <v>366.569056026814</v>
      </c>
      <c r="H12" s="55" t="n">
        <f aca="false">H5+H6+H7+H8-H9-H10-H11</f>
        <v>383.852244080664</v>
      </c>
      <c r="I12" s="55" t="n">
        <f aca="false">I5+I6+I7+I8-I9-I10-I11</f>
        <v>402.568133160443</v>
      </c>
      <c r="J12" s="55" t="n">
        <f aca="false">J5+J6+J7+J8-J9-J10-J11</f>
        <v>422.678654617696</v>
      </c>
      <c r="K12" s="55" t="n">
        <f aca="false">K5+K6+K7+K8-K9-K10-K11</f>
        <v>445.977872338385</v>
      </c>
      <c r="L12" s="55" t="n">
        <f aca="false">L5+L6+L7+L8-L9-L10-L11</f>
        <v>470.778856101135</v>
      </c>
      <c r="M12" s="55" t="n">
        <f aca="false">M5+M6+M7+M8-M9-M10-M11</f>
        <v>497.339120387676</v>
      </c>
      <c r="N12" s="55" t="n">
        <f aca="false">N5+N6+N7+N8-N9-N10-N11</f>
        <v>525.528783341553</v>
      </c>
      <c r="O12" s="55" t="n">
        <f aca="false">F12</f>
        <v>350.944925746388</v>
      </c>
      <c r="P12" s="55" t="n">
        <f aca="false">J12</f>
        <v>422.678654617696</v>
      </c>
      <c r="Q12" s="55" t="n">
        <f aca="false">N12</f>
        <v>525.528783341553</v>
      </c>
      <c r="R12" s="7" t="s">
        <v>468</v>
      </c>
    </row>
    <row r="13" customFormat="false" ht="15" hidden="false" customHeight="true" outlineLevel="0" collapsed="false">
      <c r="A13" s="8" t="s">
        <v>469</v>
      </c>
      <c r="C13" s="45" t="n">
        <f aca="false">ROUND(C12-(C5+C6+C7+C8-C9-C10-C11),6)</f>
        <v>0</v>
      </c>
      <c r="D13" s="45" t="n">
        <f aca="false">ROUND(D12-(D5+D6+D7+D8-D9-D10-D11),6)</f>
        <v>0</v>
      </c>
      <c r="E13" s="45" t="n">
        <f aca="false">ROUND(E12-(E5+E6+E7+E8-E9-E10-E11),6)</f>
        <v>0</v>
      </c>
      <c r="F13" s="45" t="n">
        <f aca="false">ROUND(F12-(F5+F6+F7+F8-F9-F10-F11),6)</f>
        <v>0</v>
      </c>
      <c r="G13" s="45" t="n">
        <f aca="false">ROUND(G12-(G5+G6+G7+G8-G9-G10-G11),6)</f>
        <v>0</v>
      </c>
      <c r="H13" s="45" t="n">
        <f aca="false">ROUND(H12-(H5+H6+H7+H8-H9-H10-H11),6)</f>
        <v>0</v>
      </c>
      <c r="I13" s="45" t="n">
        <f aca="false">ROUND(I12-(I5+I6+I7+I8-I9-I10-I11),6)</f>
        <v>0</v>
      </c>
      <c r="J13" s="45" t="n">
        <f aca="false">ROUND(J12-(J5+J6+J7+J8-J9-J10-J11),6)</f>
        <v>0</v>
      </c>
      <c r="K13" s="45" t="n">
        <f aca="false">ROUND(K12-(K5+K6+K7+K8-K9-K10-K11),6)</f>
        <v>0</v>
      </c>
      <c r="L13" s="45" t="n">
        <f aca="false">ROUND(L12-(L5+L6+L7+L8-L9-L10-L11),6)</f>
        <v>0</v>
      </c>
      <c r="M13" s="45" t="n">
        <f aca="false">ROUND(M12-(M5+M6+M7+M8-M9-M10-M11),6)</f>
        <v>0</v>
      </c>
      <c r="N13" s="45" t="n">
        <f aca="false">ROUND(N12-(N5+N6+N7+N8-N9-N10-N11),6)</f>
        <v>0</v>
      </c>
      <c r="O13" s="41" t="n">
        <f aca="false">SUM(C13:F13)</f>
        <v>0</v>
      </c>
      <c r="P13" s="41" t="n">
        <f aca="false">SUM(G13:J13)</f>
        <v>0</v>
      </c>
      <c r="Q13" s="41" t="n">
        <f aca="false">SUM(K13:N13)</f>
        <v>0</v>
      </c>
    </row>
    <row r="14" customFormat="false" ht="15" hidden="false" customHeight="true" outlineLevel="0" collapsed="false">
      <c r="A14" s="8" t="s">
        <v>470</v>
      </c>
      <c r="C14" s="54" t="n">
        <f aca="false">C5-Assumptions!$B$87</f>
        <v>300.5</v>
      </c>
      <c r="D14" s="54" t="n">
        <f aca="false">D5-Assumptions!$B$87</f>
        <v>308.684125</v>
      </c>
      <c r="E14" s="54" t="n">
        <f aca="false">E5-Assumptions!$B$87</f>
        <v>319.418268269908</v>
      </c>
      <c r="F14" s="54" t="n">
        <f aca="false">F5-Assumptions!$B$87</f>
        <v>331.2261730301</v>
      </c>
      <c r="G14" s="54" t="n">
        <f aca="false">G5-0</f>
        <v>350.944925746388</v>
      </c>
      <c r="H14" s="54" t="n">
        <f aca="false">H5-0</f>
        <v>366.569056026814</v>
      </c>
      <c r="I14" s="54" t="n">
        <f aca="false">I5-0</f>
        <v>383.852244080664</v>
      </c>
      <c r="J14" s="54" t="n">
        <f aca="false">J5-0</f>
        <v>402.568133160443</v>
      </c>
      <c r="K14" s="54" t="n">
        <f aca="false">K5-0</f>
        <v>422.678654617696</v>
      </c>
      <c r="L14" s="54" t="n">
        <f aca="false">L5-0</f>
        <v>445.977872338385</v>
      </c>
      <c r="M14" s="54" t="n">
        <f aca="false">M5-0</f>
        <v>470.778856101135</v>
      </c>
      <c r="N14" s="54" t="n">
        <f aca="false">N5-0</f>
        <v>497.339120387676</v>
      </c>
    </row>
    <row r="17" customFormat="false" ht="15" hidden="false" customHeight="true" outlineLevel="0" collapsed="false">
      <c r="A17" s="4" t="s">
        <v>471</v>
      </c>
      <c r="O17" s="22" t="n">
        <f aca="false">O6+O7</f>
        <v>43.7164265567826</v>
      </c>
      <c r="P17" s="22" t="n">
        <f aca="false">P6+P7</f>
        <v>65.0464205441852</v>
      </c>
      <c r="Q17" s="22" t="n">
        <f aca="false">Q6+Q7</f>
        <v>86.94873109375</v>
      </c>
    </row>
    <row r="18" customFormat="false" ht="15" hidden="false" customHeight="true" outlineLevel="0" collapsed="false">
      <c r="A18" s="4" t="s">
        <v>472</v>
      </c>
      <c r="B18" s="43" t="n">
        <f aca="false">310/272-1</f>
        <v>0.139705882352941</v>
      </c>
      <c r="O18" s="15" t="n">
        <f aca="false">O12/O5-1</f>
        <v>0.132080405633509</v>
      </c>
      <c r="P18" s="15" t="n">
        <f aca="false">P12/P5-1</f>
        <v>0.204401669916569</v>
      </c>
      <c r="Q18" s="15" t="n">
        <f aca="false">Q12/Q5-1</f>
        <v>0.24332936522873</v>
      </c>
      <c r="R18" s="7" t="s">
        <v>473</v>
      </c>
    </row>
    <row r="19" customFormat="false" ht="15" hidden="false" customHeight="true" outlineLevel="0" collapsed="false">
      <c r="A19" s="4" t="s">
        <v>474</v>
      </c>
      <c r="O19" s="54" t="n">
        <f aca="false">B12*(1+Assumptions!$B$94)</f>
        <v>356.5</v>
      </c>
      <c r="P19" s="54" t="n">
        <f aca="false">O19*(1+Assumptions!$B$95)</f>
        <v>427.8</v>
      </c>
      <c r="Q19" s="54" t="n">
        <f aca="false">P19*(1+Assumptions!$B$96)</f>
        <v>521.916</v>
      </c>
    </row>
    <row r="20" customFormat="false" ht="15" hidden="false" customHeight="true" outlineLevel="0" collapsed="false">
      <c r="A20" s="4" t="s">
        <v>475</v>
      </c>
      <c r="O20" s="57" t="n">
        <f aca="false">O12-O19</f>
        <v>-5.5550742536123</v>
      </c>
      <c r="P20" s="57" t="n">
        <f aca="false">P12-P19</f>
        <v>-5.12134538230447</v>
      </c>
      <c r="Q20" s="57" t="n">
        <f aca="false">Q12-Q19</f>
        <v>3.61278334155281</v>
      </c>
    </row>
    <row r="21" customFormat="false" ht="15" hidden="false" customHeight="true" outlineLevel="0" collapsed="false">
      <c r="A21" s="4" t="s">
        <v>476</v>
      </c>
      <c r="O21" s="15" t="n">
        <f aca="false">(O5+O8-O9-O10-O11)/O5</f>
        <v>0.991059674805178</v>
      </c>
      <c r="P21" s="15" t="n">
        <f aca="false">(P5+P8-P9-P10-P11)/P5</f>
        <v>1.019055150357</v>
      </c>
      <c r="Q21" s="15" t="n">
        <f aca="false">(Q5+Q8-Q9-Q10-Q11)/Q5</f>
        <v>1.03762053620732</v>
      </c>
      <c r="R21" s="7" t="s">
        <v>477</v>
      </c>
    </row>
    <row r="22" customFormat="false" ht="15" hidden="false" customHeight="true" outlineLevel="0" collapsed="false">
      <c r="A22" s="4" t="s">
        <v>478</v>
      </c>
      <c r="O22" s="43" t="n">
        <f aca="false">(O5-O9-O10-O11)/O5</f>
        <v>0.906182947694508</v>
      </c>
      <c r="P22" s="43" t="n">
        <f aca="false">(P5-P9-P10-P11)/P5</f>
        <v>0.921141495543069</v>
      </c>
      <c r="Q22" s="43" t="n">
        <f aca="false">(Q5-Q9-Q10-Q11)/Q5</f>
        <v>0.927439672793113</v>
      </c>
    </row>
    <row r="23" customFormat="false" ht="15" hidden="false" customHeight="true" outlineLevel="0" collapsed="false">
      <c r="A23" s="4" t="s">
        <v>479</v>
      </c>
      <c r="O23" s="58" t="n">
        <f aca="false">Do_nothing!C8</f>
        <v>342.44</v>
      </c>
      <c r="P23" s="58" t="n">
        <f aca="false">Do_nothing!D8</f>
        <v>368.82686</v>
      </c>
      <c r="Q23" s="58" t="n">
        <f aca="false">Do_nothing!E8</f>
        <v>388.85733374</v>
      </c>
    </row>
    <row r="24" customFormat="false" ht="15" hidden="false" customHeight="true" outlineLevel="0" collapsed="false">
      <c r="A24" s="4" t="s">
        <v>480</v>
      </c>
      <c r="O24" s="55" t="n">
        <f aca="false">O12-O23</f>
        <v>8.5049257463877</v>
      </c>
      <c r="P24" s="55" t="n">
        <f aca="false">P12-P23</f>
        <v>53.8517946176955</v>
      </c>
      <c r="Q24" s="55" t="n">
        <f aca="false">Q12-Q23</f>
        <v>136.671449601553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1"/>
    <col collapsed="false" customWidth="true" hidden="false" outlineLevel="0" max="17" min="3" style="1" width="9.52"/>
    <col collapsed="false" customWidth="true" hidden="false" outlineLevel="0" max="18" min="18" style="1" width="55"/>
  </cols>
  <sheetData>
    <row r="1" customFormat="false" ht="15.75" hidden="false" customHeight="true" outlineLevel="0" collapsed="false">
      <c r="A1" s="2" t="s">
        <v>481</v>
      </c>
    </row>
    <row r="2" customFormat="false" ht="15" hidden="false" customHeight="true" outlineLevel="0" collapsed="false">
      <c r="A2" s="5" t="s">
        <v>482</v>
      </c>
    </row>
    <row r="4" customFormat="false" ht="15" hidden="false" customHeight="true" outlineLevel="0" collapsed="false">
      <c r="A4" s="11" t="s">
        <v>380</v>
      </c>
      <c r="B4" s="12" t="s">
        <v>381</v>
      </c>
      <c r="C4" s="12" t="s">
        <v>13</v>
      </c>
      <c r="D4" s="12" t="s">
        <v>65</v>
      </c>
      <c r="E4" s="12" t="s">
        <v>66</v>
      </c>
      <c r="F4" s="12" t="s">
        <v>67</v>
      </c>
      <c r="G4" s="12" t="s">
        <v>68</v>
      </c>
      <c r="H4" s="12" t="s">
        <v>69</v>
      </c>
      <c r="I4" s="12" t="s">
        <v>70</v>
      </c>
      <c r="J4" s="12" t="s">
        <v>71</v>
      </c>
      <c r="K4" s="12" t="s">
        <v>72</v>
      </c>
      <c r="L4" s="12" t="s">
        <v>73</v>
      </c>
      <c r="M4" s="12" t="s">
        <v>74</v>
      </c>
      <c r="N4" s="12" t="s">
        <v>75</v>
      </c>
      <c r="O4" s="12" t="s">
        <v>31</v>
      </c>
      <c r="P4" s="12" t="s">
        <v>32</v>
      </c>
      <c r="Q4" s="12" t="s">
        <v>33</v>
      </c>
      <c r="R4" s="12" t="s">
        <v>382</v>
      </c>
    </row>
    <row r="5" customFormat="false" ht="15" hidden="false" customHeight="true" outlineLevel="0" collapsed="false">
      <c r="A5" s="8" t="s">
        <v>483</v>
      </c>
      <c r="C5" s="54" t="n">
        <f aca="false">(ARR_bridge!C5+ARR_bridge!C12)/2</f>
        <v>314.0920625</v>
      </c>
      <c r="D5" s="54" t="n">
        <f aca="false">(ARR_bridge!D5+ARR_bridge!D12)/2</f>
        <v>323.551196634954</v>
      </c>
      <c r="E5" s="54" t="n">
        <f aca="false">(ARR_bridge!E5+ARR_bridge!E12)/2</f>
        <v>334.822220650004</v>
      </c>
      <c r="F5" s="54" t="n">
        <f aca="false">(ARR_bridge!F5+ARR_bridge!F12)/2</f>
        <v>345.835549388244</v>
      </c>
      <c r="G5" s="54" t="n">
        <f aca="false">(ARR_bridge!G5+ARR_bridge!G12)/2</f>
        <v>358.756990886601</v>
      </c>
      <c r="H5" s="54" t="n">
        <f aca="false">(ARR_bridge!H5+ARR_bridge!H12)/2</f>
        <v>375.210650053739</v>
      </c>
      <c r="I5" s="54" t="n">
        <f aca="false">(ARR_bridge!I5+ARR_bridge!I12)/2</f>
        <v>393.210188620554</v>
      </c>
      <c r="J5" s="54" t="n">
        <f aca="false">(ARR_bridge!J5+ARR_bridge!J12)/2</f>
        <v>412.623393889069</v>
      </c>
      <c r="K5" s="54" t="n">
        <f aca="false">(ARR_bridge!K5+ARR_bridge!K12)/2</f>
        <v>434.32826347804</v>
      </c>
      <c r="L5" s="54" t="n">
        <f aca="false">(ARR_bridge!L5+ARR_bridge!L12)/2</f>
        <v>458.37836421976</v>
      </c>
      <c r="M5" s="54" t="n">
        <f aca="false">(ARR_bridge!M5+ARR_bridge!M12)/2</f>
        <v>484.058988244405</v>
      </c>
      <c r="N5" s="54" t="n">
        <f aca="false">(ARR_bridge!N5+ARR_bridge!N12)/2</f>
        <v>511.433951864615</v>
      </c>
      <c r="O5" s="54" t="n">
        <f aca="false">AVERAGE(C5:F5)</f>
        <v>329.5752572933</v>
      </c>
      <c r="P5" s="54" t="n">
        <f aca="false">AVERAGE(G5:J5)</f>
        <v>384.950305862491</v>
      </c>
      <c r="Q5" s="54" t="n">
        <f aca="false">AVERAGE(K5:N5)</f>
        <v>472.049891951705</v>
      </c>
    </row>
    <row r="6" customFormat="false" ht="15" hidden="false" customHeight="true" outlineLevel="0" collapsed="false">
      <c r="A6" s="8" t="s">
        <v>484</v>
      </c>
      <c r="C6" s="41" t="n">
        <f aca="false">C5*Assumptions!$B$53/4</f>
        <v>78.523015625</v>
      </c>
      <c r="D6" s="41" t="n">
        <f aca="false">D5*Assumptions!$B$53/4</f>
        <v>80.8877991587385</v>
      </c>
      <c r="E6" s="41" t="n">
        <f aca="false">E5*Assumptions!$B$53/4</f>
        <v>83.705555162501</v>
      </c>
      <c r="F6" s="41" t="n">
        <f aca="false">F5*Assumptions!$B$53/4</f>
        <v>86.458887347061</v>
      </c>
      <c r="G6" s="41" t="n">
        <f aca="false">G5*Assumptions!$B$53/4</f>
        <v>89.6892477216502</v>
      </c>
      <c r="H6" s="41" t="n">
        <f aca="false">H5*Assumptions!$B$53/4</f>
        <v>93.8026625134348</v>
      </c>
      <c r="I6" s="41" t="n">
        <f aca="false">I5*Assumptions!$B$53/4</f>
        <v>98.3025471551384</v>
      </c>
      <c r="J6" s="41" t="n">
        <f aca="false">J5*Assumptions!$B$53/4</f>
        <v>103.155848472267</v>
      </c>
      <c r="K6" s="41" t="n">
        <f aca="false">K5*Assumptions!$B$53/4</f>
        <v>108.58206586951</v>
      </c>
      <c r="L6" s="41" t="n">
        <f aca="false">L5*Assumptions!$B$53/4</f>
        <v>114.59459105494</v>
      </c>
      <c r="M6" s="41" t="n">
        <f aca="false">M5*Assumptions!$B$53/4</f>
        <v>121.014747061101</v>
      </c>
      <c r="N6" s="41" t="n">
        <f aca="false">N5*Assumptions!$B$53/4</f>
        <v>127.858487966154</v>
      </c>
      <c r="O6" s="41" t="n">
        <f aca="false">SUM(C6:F6)</f>
        <v>329.5752572933</v>
      </c>
      <c r="P6" s="41" t="n">
        <f aca="false">SUM(G6:J6)</f>
        <v>384.950305862491</v>
      </c>
      <c r="Q6" s="41" t="n">
        <f aca="false">SUM(K6:N6)</f>
        <v>472.049891951705</v>
      </c>
    </row>
    <row r="7" customFormat="false" ht="15" hidden="false" customHeight="true" outlineLevel="0" collapsed="false">
      <c r="A7" s="8" t="s">
        <v>485</v>
      </c>
      <c r="C7" s="41" t="n">
        <f aca="false">(ARR_bridge!C6+ARR_bridge!C7+ARR_bridge!C8)*(Assumptions!$B$21+(Assumptions!$O$21-Assumptions!$B$21)*1/4)</f>
        <v>21.710565</v>
      </c>
      <c r="D7" s="41" t="n">
        <f aca="false">(ARR_bridge!D6+ARR_bridge!D7+ARR_bridge!D8)*(Assumptions!$B$21+(Assumptions!$O$21-Assumptions!$B$21)*2/4)</f>
        <v>25.014026818667</v>
      </c>
      <c r="E7" s="41" t="n">
        <f aca="false">(ARR_bridge!E6+ARR_bridge!E7+ARR_bridge!E8)*(Assumptions!$B$21+(Assumptions!$O$21-Assumptions!$B$21)*3/4)</f>
        <v>26.1788840340461</v>
      </c>
      <c r="F7" s="41" t="n">
        <f aca="false">(ARR_bridge!F6+ARR_bridge!F7+ARR_bridge!F8)*(Assumptions!$B$21+(Assumptions!$O$21-Assumptions!$B$21)*4/4)</f>
        <v>27.0917866476455</v>
      </c>
      <c r="G7" s="41" t="n">
        <f aca="false">(ARR_bridge!G6+ARR_bridge!G7+ARR_bridge!G8)*(Assumptions!$O$21+(Assumptions!$P$21-Assumptions!$O$21)*1/4)</f>
        <v>30.2719790926293</v>
      </c>
      <c r="H7" s="41" t="n">
        <f aca="false">(ARR_bridge!H6+ARR_bridge!H7+ARR_bridge!H8)*(Assumptions!$O$21+(Assumptions!$P$21-Assumptions!$O$21)*2/4)</f>
        <v>31.4032652106593</v>
      </c>
      <c r="I7" s="41" t="n">
        <f aca="false">(ARR_bridge!I6+ARR_bridge!I7+ARR_bridge!I8)*(Assumptions!$O$21+(Assumptions!$P$21-Assumptions!$O$21)*3/4)</f>
        <v>32.0915137546755</v>
      </c>
      <c r="J7" s="41" t="n">
        <f aca="false">(ARR_bridge!J6+ARR_bridge!J7+ARR_bridge!J8)*(Assumptions!$O$21+(Assumptions!$P$21-Assumptions!$O$21)*4/4)</f>
        <v>32.5865565450726</v>
      </c>
      <c r="K7" s="41" t="n">
        <f aca="false">(ARR_bridge!K6+ARR_bridge!K7+ARR_bridge!K8)*(Assumptions!$P$21+(Assumptions!$Q$21-Assumptions!$P$21)*1/4)</f>
        <v>35.5306582501827</v>
      </c>
      <c r="L7" s="41" t="n">
        <f aca="false">(ARR_bridge!L6+ARR_bridge!L7+ARR_bridge!L8)*(Assumptions!$P$21+(Assumptions!$Q$21-Assumptions!$P$21)*2/4)</f>
        <v>36.3677179032671</v>
      </c>
      <c r="M7" s="41" t="n">
        <f aca="false">(ARR_bridge!M6+ARR_bridge!M7+ARR_bridge!M8)*(Assumptions!$P$21+(Assumptions!$Q$21-Assumptions!$P$21)*3/4)</f>
        <v>37.3638237611543</v>
      </c>
      <c r="N7" s="41" t="n">
        <f aca="false">(ARR_bridge!N6+ARR_bridge!N7+ARR_bridge!N8)*(Assumptions!$P$21+(Assumptions!$Q$21-Assumptions!$P$21)*4/4)</f>
        <v>38.0849948431853</v>
      </c>
      <c r="O7" s="41" t="n">
        <f aca="false">SUM(C7:F7)</f>
        <v>99.9952625003586</v>
      </c>
      <c r="P7" s="41" t="n">
        <f aca="false">SUM(G7:J7)</f>
        <v>126.353314603037</v>
      </c>
      <c r="Q7" s="41" t="n">
        <f aca="false">SUM(K7:N7)</f>
        <v>147.347194757789</v>
      </c>
      <c r="R7" s="7" t="s">
        <v>486</v>
      </c>
    </row>
    <row r="8" customFormat="false" ht="15" hidden="false" customHeight="true" outlineLevel="0" collapsed="false">
      <c r="A8" s="4" t="s">
        <v>487</v>
      </c>
      <c r="B8" s="20" t="n">
        <v>388.52</v>
      </c>
      <c r="C8" s="22" t="n">
        <f aca="false">C6+C7</f>
        <v>100.233580625</v>
      </c>
      <c r="D8" s="22" t="n">
        <f aca="false">D6+D7</f>
        <v>105.901825977405</v>
      </c>
      <c r="E8" s="22" t="n">
        <f aca="false">E6+E7</f>
        <v>109.884439196547</v>
      </c>
      <c r="F8" s="22" t="n">
        <f aca="false">F6+F7</f>
        <v>113.550673994706</v>
      </c>
      <c r="G8" s="22" t="n">
        <f aca="false">G6+G7</f>
        <v>119.96122681428</v>
      </c>
      <c r="H8" s="22" t="n">
        <f aca="false">H6+H7</f>
        <v>125.205927724094</v>
      </c>
      <c r="I8" s="22" t="n">
        <f aca="false">I6+I7</f>
        <v>130.394060909814</v>
      </c>
      <c r="J8" s="22" t="n">
        <f aca="false">J6+J7</f>
        <v>135.74240501734</v>
      </c>
      <c r="K8" s="22" t="n">
        <f aca="false">K6+K7</f>
        <v>144.112724119693</v>
      </c>
      <c r="L8" s="22" t="n">
        <f aca="false">L6+L7</f>
        <v>150.962308958207</v>
      </c>
      <c r="M8" s="22" t="n">
        <f aca="false">M6+M7</f>
        <v>158.378570822256</v>
      </c>
      <c r="N8" s="22" t="n">
        <f aca="false">N6+N7</f>
        <v>165.943482809339</v>
      </c>
      <c r="O8" s="22" t="n">
        <f aca="false">SUM(C8:F8)</f>
        <v>429.570519793659</v>
      </c>
      <c r="P8" s="22" t="n">
        <f aca="false">SUM(G8:J8)</f>
        <v>511.303620465527</v>
      </c>
      <c r="Q8" s="22" t="n">
        <f aca="false">SUM(K8:N8)</f>
        <v>619.397086709494</v>
      </c>
    </row>
    <row r="9" customFormat="false" ht="15" hidden="false" customHeight="true" outlineLevel="0" collapsed="false">
      <c r="A9" s="8" t="s">
        <v>488</v>
      </c>
      <c r="C9" s="41" t="n">
        <f aca="false">C6*Assumptions!$B$54</f>
        <v>14.1341428125</v>
      </c>
      <c r="D9" s="41" t="n">
        <f aca="false">D6*Assumptions!$B$54</f>
        <v>14.5598038485729</v>
      </c>
      <c r="E9" s="41" t="n">
        <f aca="false">E6*Assumptions!$B$54</f>
        <v>15.0669999292502</v>
      </c>
      <c r="F9" s="41" t="n">
        <f aca="false">F6*Assumptions!$B$54</f>
        <v>15.562599722471</v>
      </c>
      <c r="G9" s="41" t="n">
        <f aca="false">G6*Assumptions!$B$54</f>
        <v>16.144064589897</v>
      </c>
      <c r="H9" s="41" t="n">
        <f aca="false">H6*Assumptions!$B$54</f>
        <v>16.8844792524183</v>
      </c>
      <c r="I9" s="41" t="n">
        <f aca="false">I6*Assumptions!$B$54</f>
        <v>17.6944584879249</v>
      </c>
      <c r="J9" s="41" t="n">
        <f aca="false">J6*Assumptions!$B$54</f>
        <v>18.5680527250081</v>
      </c>
      <c r="K9" s="41" t="n">
        <f aca="false">K6*Assumptions!$B$54</f>
        <v>19.5447718565118</v>
      </c>
      <c r="L9" s="41" t="n">
        <f aca="false">L6*Assumptions!$B$54</f>
        <v>20.6270263898892</v>
      </c>
      <c r="M9" s="41" t="n">
        <f aca="false">M6*Assumptions!$B$54</f>
        <v>21.7826544709982</v>
      </c>
      <c r="N9" s="41" t="n">
        <f aca="false">N6*Assumptions!$B$54</f>
        <v>23.0145278339077</v>
      </c>
      <c r="O9" s="41" t="n">
        <f aca="false">SUM(C9:F9)</f>
        <v>59.3235463127941</v>
      </c>
      <c r="P9" s="41" t="n">
        <f aca="false">SUM(G9:J9)</f>
        <v>69.2910550552483</v>
      </c>
      <c r="Q9" s="41" t="n">
        <f aca="false">SUM(K9:N9)</f>
        <v>84.9689805513069</v>
      </c>
    </row>
    <row r="10" customFormat="false" ht="15" hidden="false" customHeight="true" outlineLevel="0" collapsed="false">
      <c r="A10" s="8" t="s">
        <v>489</v>
      </c>
      <c r="C10" s="41" t="n">
        <f aca="false">C7*Assumptions!$B$55</f>
        <v>16.28292375</v>
      </c>
      <c r="D10" s="41" t="n">
        <f aca="false">D7*Assumptions!$B$55</f>
        <v>18.7605201140002</v>
      </c>
      <c r="E10" s="41" t="n">
        <f aca="false">E7*Assumptions!$B$55</f>
        <v>19.6341630255346</v>
      </c>
      <c r="F10" s="41" t="n">
        <f aca="false">F7*Assumptions!$B$55</f>
        <v>20.3188399857341</v>
      </c>
      <c r="G10" s="41" t="n">
        <f aca="false">G7*Assumptions!$B$55</f>
        <v>22.703984319472</v>
      </c>
      <c r="H10" s="41" t="n">
        <f aca="false">H7*Assumptions!$B$55</f>
        <v>23.5524489079945</v>
      </c>
      <c r="I10" s="41" t="n">
        <f aca="false">I7*Assumptions!$B$55</f>
        <v>24.0686353160066</v>
      </c>
      <c r="J10" s="41" t="n">
        <f aca="false">J7*Assumptions!$B$55</f>
        <v>24.4399174088045</v>
      </c>
      <c r="K10" s="41" t="n">
        <f aca="false">K7*Assumptions!$B$55</f>
        <v>26.647993687637</v>
      </c>
      <c r="L10" s="41" t="n">
        <f aca="false">L7*Assumptions!$B$55</f>
        <v>27.2757884274503</v>
      </c>
      <c r="M10" s="41" t="n">
        <f aca="false">M7*Assumptions!$B$55</f>
        <v>28.0228678208657</v>
      </c>
      <c r="N10" s="41" t="n">
        <f aca="false">N7*Assumptions!$B$55</f>
        <v>28.563746132389</v>
      </c>
      <c r="O10" s="41" t="n">
        <f aca="false">SUM(C10:F10)</f>
        <v>74.996446875269</v>
      </c>
      <c r="P10" s="41" t="n">
        <f aca="false">SUM(G10:J10)</f>
        <v>94.7649859522775</v>
      </c>
      <c r="Q10" s="41" t="n">
        <f aca="false">SUM(K10:N10)</f>
        <v>110.510396068342</v>
      </c>
    </row>
    <row r="11" customFormat="false" ht="15" hidden="false" customHeight="true" outlineLevel="0" collapsed="false">
      <c r="A11" s="8" t="s">
        <v>490</v>
      </c>
      <c r="C11" s="41" t="n">
        <f aca="false">C8-C9-C10</f>
        <v>69.8165140625</v>
      </c>
      <c r="D11" s="41" t="n">
        <f aca="false">D8-D9-D10</f>
        <v>72.5815020148323</v>
      </c>
      <c r="E11" s="41" t="n">
        <f aca="false">E8-E9-E10</f>
        <v>75.1832762417623</v>
      </c>
      <c r="F11" s="41" t="n">
        <f aca="false">F8-F9-F10</f>
        <v>77.6692342865014</v>
      </c>
      <c r="G11" s="41" t="n">
        <f aca="false">G8-G9-G10</f>
        <v>81.1131779049105</v>
      </c>
      <c r="H11" s="41" t="n">
        <f aca="false">H8-H9-H10</f>
        <v>84.7689995636814</v>
      </c>
      <c r="I11" s="41" t="n">
        <f aca="false">I8-I9-I10</f>
        <v>88.6309671058823</v>
      </c>
      <c r="J11" s="41" t="n">
        <f aca="false">J8-J9-J10</f>
        <v>92.7344348835273</v>
      </c>
      <c r="K11" s="41" t="n">
        <f aca="false">K8-K9-K10</f>
        <v>97.9199585755439</v>
      </c>
      <c r="L11" s="41" t="n">
        <f aca="false">L8-L9-L10</f>
        <v>103.059494140868</v>
      </c>
      <c r="M11" s="41" t="n">
        <f aca="false">M8-M9-M10</f>
        <v>108.573048530392</v>
      </c>
      <c r="N11" s="41" t="n">
        <f aca="false">N8-N9-N10</f>
        <v>114.365208843042</v>
      </c>
      <c r="O11" s="41" t="n">
        <f aca="false">SUM(C11:F11)</f>
        <v>295.250526605596</v>
      </c>
      <c r="P11" s="41" t="n">
        <f aca="false">SUM(G11:J11)</f>
        <v>347.247579458002</v>
      </c>
      <c r="Q11" s="41" t="n">
        <f aca="false">SUM(K11:N11)</f>
        <v>423.917710089845</v>
      </c>
    </row>
    <row r="12" customFormat="false" ht="15" hidden="false" customHeight="true" outlineLevel="0" collapsed="false">
      <c r="A12" s="8" t="s">
        <v>491</v>
      </c>
      <c r="C12" s="43" t="n">
        <f aca="false">C11/C8</f>
        <v>0.696538162431828</v>
      </c>
      <c r="D12" s="43" t="n">
        <f aca="false">D11/D8</f>
        <v>0.685365916450938</v>
      </c>
      <c r="E12" s="43" t="n">
        <f aca="false">E11/E8</f>
        <v>0.684203120946763</v>
      </c>
      <c r="F12" s="43" t="n">
        <f aca="false">F11/F8</f>
        <v>0.684005048619281</v>
      </c>
      <c r="G12" s="43" t="n">
        <f aca="false">G11/G8</f>
        <v>0.676161623709364</v>
      </c>
      <c r="H12" s="43" t="n">
        <f aca="false">H11/H8</f>
        <v>0.677036631608048</v>
      </c>
      <c r="I12" s="43" t="n">
        <f aca="false">I11/I8</f>
        <v>0.679716288360582</v>
      </c>
      <c r="J12" s="43" t="n">
        <f aca="false">J11/J8</f>
        <v>0.68316481405852</v>
      </c>
      <c r="K12" s="43" t="n">
        <f aca="false">K11/K8</f>
        <v>0.679467820580621</v>
      </c>
      <c r="L12" s="43" t="n">
        <f aca="false">L11/L8</f>
        <v>0.682683610578578</v>
      </c>
      <c r="M12" s="43" t="n">
        <f aca="false">M11/M8</f>
        <v>0.685528654329382</v>
      </c>
      <c r="N12" s="43" t="n">
        <f aca="false">N11/N8</f>
        <v>0.689181683467753</v>
      </c>
      <c r="O12" s="43" t="n">
        <f aca="false">O11/O8</f>
        <v>0.687315616414779</v>
      </c>
      <c r="P12" s="43" t="n">
        <f aca="false">P11/P8</f>
        <v>0.679141640229034</v>
      </c>
      <c r="Q12" s="43" t="n">
        <f aca="false">Q11/Q8</f>
        <v>0.684403784237798</v>
      </c>
    </row>
    <row r="13" customFormat="false" ht="15" hidden="false" customHeight="true" outlineLevel="0" collapsed="false">
      <c r="A13" s="8" t="s">
        <v>492</v>
      </c>
      <c r="C13" s="42" t="n">
        <f aca="false">Channel!C29</f>
        <v>0.1212288</v>
      </c>
      <c r="D13" s="42" t="n">
        <f aca="false">Channel!D29</f>
        <v>0.13941312</v>
      </c>
      <c r="E13" s="42" t="n">
        <f aca="false">Channel!E29</f>
        <v>0.16365888</v>
      </c>
      <c r="F13" s="42" t="n">
        <f aca="false">Channel!F29</f>
        <v>0.1818432</v>
      </c>
      <c r="G13" s="42" t="n">
        <f aca="false">Channel!G29</f>
        <v>0.3833424</v>
      </c>
      <c r="H13" s="42" t="n">
        <f aca="false">Channel!H29</f>
        <v>0.44084376</v>
      </c>
      <c r="I13" s="42" t="n">
        <f aca="false">Channel!I29</f>
        <v>0.51751224</v>
      </c>
      <c r="J13" s="42" t="n">
        <f aca="false">Channel!J29</f>
        <v>0.5750136</v>
      </c>
      <c r="K13" s="42" t="n">
        <f aca="false">Channel!K29</f>
        <v>0.883589952</v>
      </c>
      <c r="L13" s="42" t="n">
        <f aca="false">Channel!L29</f>
        <v>1.0161284448</v>
      </c>
      <c r="M13" s="42" t="n">
        <f aca="false">Channel!M29</f>
        <v>1.1928464352</v>
      </c>
      <c r="N13" s="42" t="n">
        <f aca="false">Channel!N29</f>
        <v>1.325384928</v>
      </c>
      <c r="O13" s="41" t="n">
        <f aca="false">SUM(C13:F13)</f>
        <v>0.606144</v>
      </c>
      <c r="P13" s="41" t="n">
        <f aca="false">SUM(G13:J13)</f>
        <v>1.916712</v>
      </c>
      <c r="Q13" s="41" t="n">
        <f aca="false">SUM(K13:N13)</f>
        <v>4.41794976</v>
      </c>
    </row>
    <row r="14" customFormat="false" ht="15" hidden="false" customHeight="true" outlineLevel="0" collapsed="false">
      <c r="A14" s="8" t="s">
        <v>493</v>
      </c>
      <c r="C14" s="41" t="n">
        <f aca="false">C11-C13</f>
        <v>69.6952852625</v>
      </c>
      <c r="D14" s="41" t="n">
        <f aca="false">D11-D13</f>
        <v>72.4420888948323</v>
      </c>
      <c r="E14" s="41" t="n">
        <f aca="false">E11-E13</f>
        <v>75.0196173617623</v>
      </c>
      <c r="F14" s="41" t="n">
        <f aca="false">F11-F13</f>
        <v>77.4873910865014</v>
      </c>
      <c r="G14" s="41" t="n">
        <f aca="false">G11-G13</f>
        <v>80.7298355049105</v>
      </c>
      <c r="H14" s="41" t="n">
        <f aca="false">H11-H13</f>
        <v>84.3281558036814</v>
      </c>
      <c r="I14" s="41" t="n">
        <f aca="false">I11-I13</f>
        <v>88.1134548658823</v>
      </c>
      <c r="J14" s="41" t="n">
        <f aca="false">J11-J13</f>
        <v>92.1594212835273</v>
      </c>
      <c r="K14" s="41" t="n">
        <f aca="false">K11-K13</f>
        <v>97.036368623544</v>
      </c>
      <c r="L14" s="41" t="n">
        <f aca="false">L11-L13</f>
        <v>102.043365696068</v>
      </c>
      <c r="M14" s="41" t="n">
        <f aca="false">M11-M13</f>
        <v>107.380202095192</v>
      </c>
      <c r="N14" s="41" t="n">
        <f aca="false">N11-N13</f>
        <v>113.039823915042</v>
      </c>
      <c r="O14" s="41" t="n">
        <f aca="false">SUM(C14:F14)</f>
        <v>294.644382605596</v>
      </c>
      <c r="P14" s="41" t="n">
        <f aca="false">SUM(G14:J14)</f>
        <v>345.330867458002</v>
      </c>
      <c r="Q14" s="41" t="n">
        <f aca="false">SUM(K14:N14)</f>
        <v>419.499760329845</v>
      </c>
    </row>
    <row r="15" customFormat="false" ht="15" hidden="false" customHeight="true" outlineLevel="0" collapsed="false">
      <c r="A15" s="4" t="s">
        <v>494</v>
      </c>
      <c r="B15" s="43" t="n">
        <f aca="false">(388.52-53.13-70.02)/388.52</f>
        <v>0.68302790075157</v>
      </c>
      <c r="C15" s="15" t="n">
        <f aca="false">C14/C8</f>
        <v>0.695328699502897</v>
      </c>
      <c r="D15" s="15" t="n">
        <f aca="false">D14/D8</f>
        <v>0.684049479092911</v>
      </c>
      <c r="E15" s="15" t="n">
        <f aca="false">E14/E8</f>
        <v>0.682713748282201</v>
      </c>
      <c r="F15" s="15" t="n">
        <f aca="false">F14/F8</f>
        <v>0.682403620872508</v>
      </c>
      <c r="G15" s="15" t="n">
        <f aca="false">G14/G8</f>
        <v>0.672966071194771</v>
      </c>
      <c r="H15" s="15" t="n">
        <f aca="false">H14/H8</f>
        <v>0.673515682017135</v>
      </c>
      <c r="I15" s="15" t="n">
        <f aca="false">I14/I8</f>
        <v>0.675747455452173</v>
      </c>
      <c r="J15" s="15" t="n">
        <f aca="false">J14/J8</f>
        <v>0.678928749433567</v>
      </c>
      <c r="K15" s="15" t="n">
        <f aca="false">K14/K8</f>
        <v>0.673336578822495</v>
      </c>
      <c r="L15" s="15" t="n">
        <f aca="false">L14/L8</f>
        <v>0.675952603005811</v>
      </c>
      <c r="M15" s="15" t="n">
        <f aca="false">M14/M8</f>
        <v>0.677997039231411</v>
      </c>
      <c r="N15" s="15" t="n">
        <f aca="false">N14/N8</f>
        <v>0.68119471763118</v>
      </c>
      <c r="O15" s="15" t="n">
        <f aca="false">O14/O8</f>
        <v>0.685904569864632</v>
      </c>
      <c r="P15" s="15" t="n">
        <f aca="false">P14/P8</f>
        <v>0.675392963467749</v>
      </c>
      <c r="Q15" s="15" t="n">
        <f aca="false">Q14/Q8</f>
        <v>0.677271122727441</v>
      </c>
      <c r="R15" s="7" t="s">
        <v>495</v>
      </c>
    </row>
    <row r="16" customFormat="false" ht="15" hidden="false" customHeight="true" outlineLevel="0" collapsed="false">
      <c r="A16" s="8" t="s">
        <v>496</v>
      </c>
      <c r="C16" s="41" t="n">
        <f aca="false">Assumptions!$B$52/4*(1+Assumptions!$B$50)^1</f>
        <v>15.98745</v>
      </c>
      <c r="D16" s="41" t="n">
        <f aca="false">Assumptions!$B$52/4*(1+Assumptions!$B$50)^1</f>
        <v>15.98745</v>
      </c>
      <c r="E16" s="41" t="n">
        <f aca="false">Assumptions!$B$52/4*(1+Assumptions!$B$50)^1</f>
        <v>15.98745</v>
      </c>
      <c r="F16" s="41" t="n">
        <f aca="false">Assumptions!$B$52/4*(1+Assumptions!$B$50)^1</f>
        <v>15.98745</v>
      </c>
      <c r="G16" s="41" t="n">
        <f aca="false">Assumptions!$B$52/4*(1+Assumptions!$B$50)^2</f>
        <v>16.946697</v>
      </c>
      <c r="H16" s="41" t="n">
        <f aca="false">Assumptions!$B$52/4*(1+Assumptions!$B$50)^2</f>
        <v>16.946697</v>
      </c>
      <c r="I16" s="41" t="n">
        <f aca="false">Assumptions!$B$52/4*(1+Assumptions!$B$50)^2</f>
        <v>16.946697</v>
      </c>
      <c r="J16" s="41" t="n">
        <f aca="false">Assumptions!$B$52/4*(1+Assumptions!$B$50)^2</f>
        <v>16.946697</v>
      </c>
      <c r="K16" s="41" t="n">
        <f aca="false">Assumptions!$B$52/4*(1+Assumptions!$B$50)^3</f>
        <v>17.96349882</v>
      </c>
      <c r="L16" s="41" t="n">
        <f aca="false">Assumptions!$B$52/4*(1+Assumptions!$B$50)^3</f>
        <v>17.96349882</v>
      </c>
      <c r="M16" s="41" t="n">
        <f aca="false">Assumptions!$B$52/4*(1+Assumptions!$B$50)^3</f>
        <v>17.96349882</v>
      </c>
      <c r="N16" s="41" t="n">
        <f aca="false">Assumptions!$B$52/4*(1+Assumptions!$B$50)^3</f>
        <v>17.96349882</v>
      </c>
      <c r="O16" s="41" t="n">
        <f aca="false">SUM(C16:F16)</f>
        <v>63.9498</v>
      </c>
      <c r="P16" s="41" t="n">
        <f aca="false">SUM(G16:J16)</f>
        <v>67.786788</v>
      </c>
      <c r="Q16" s="41" t="n">
        <f aca="false">SUM(K16:N16)</f>
        <v>71.85399528</v>
      </c>
    </row>
    <row r="17" customFormat="false" ht="15" hidden="false" customHeight="true" outlineLevel="0" collapsed="false">
      <c r="A17" s="8" t="s">
        <v>497</v>
      </c>
      <c r="C17" s="41" t="n">
        <f aca="false">Capacity!C32*Assumptions!$B$49*(1+Assumptions!$B$50)^1</f>
        <v>9.77018112</v>
      </c>
      <c r="D17" s="41" t="n">
        <f aca="false">Capacity!D32*Assumptions!$B$49*(1+Assumptions!$B$50)^1</f>
        <v>9.76348239594</v>
      </c>
      <c r="E17" s="41" t="n">
        <f aca="false">Capacity!E32*Assumptions!$B$49*(1+Assumptions!$B$50)^1</f>
        <v>10.6306677186429</v>
      </c>
      <c r="F17" s="41" t="n">
        <f aca="false">Capacity!F32*Assumptions!$B$49*(1+Assumptions!$B$50)^1</f>
        <v>10.6234446399528</v>
      </c>
      <c r="G17" s="41" t="n">
        <f aca="false">Capacity!G32*Assumptions!$B$49*(1+Assumptions!$B$50)^2</f>
        <v>11.9037557026592</v>
      </c>
      <c r="H17" s="41" t="n">
        <f aca="false">Capacity!H32*Assumptions!$B$49*(1+Assumptions!$B$50)^2</f>
        <v>11.8993982432898</v>
      </c>
      <c r="I17" s="41" t="n">
        <f aca="false">Capacity!I32*Assumptions!$B$49*(1+Assumptions!$B$50)^2</f>
        <v>12.514954761692</v>
      </c>
      <c r="J17" s="41" t="n">
        <f aca="false">Capacity!J32*Assumptions!$B$49*(1+Assumptions!$B$50)^2</f>
        <v>12.5120732586048</v>
      </c>
      <c r="K17" s="41" t="n">
        <f aca="false">Capacity!K32*Assumptions!$B$49*(1+Assumptions!$B$50)^3</f>
        <v>13.9514158317513</v>
      </c>
      <c r="L17" s="41" t="n">
        <f aca="false">Capacity!L32*Assumptions!$B$49*(1+Assumptions!$B$50)^3</f>
        <v>13.9483424612568</v>
      </c>
      <c r="M17" s="41" t="n">
        <f aca="false">Capacity!M32*Assumptions!$B$49*(1+Assumptions!$B$50)^3</f>
        <v>14.2759879801768</v>
      </c>
      <c r="N17" s="41" t="n">
        <f aca="false">Capacity!N32*Assumptions!$B$49*(1+Assumptions!$B$50)^3</f>
        <v>14.2760181587194</v>
      </c>
      <c r="O17" s="41" t="n">
        <f aca="false">SUM(C17:F17)</f>
        <v>40.7877758745357</v>
      </c>
      <c r="P17" s="41" t="n">
        <f aca="false">SUM(G17:J17)</f>
        <v>48.8301819662457</v>
      </c>
      <c r="Q17" s="41" t="n">
        <f aca="false">SUM(K17:N17)</f>
        <v>56.4517644319044</v>
      </c>
    </row>
    <row r="18" customFormat="false" ht="15" hidden="false" customHeight="true" outlineLevel="0" collapsed="false">
      <c r="A18" s="8" t="s">
        <v>498</v>
      </c>
      <c r="C18" s="41" t="n">
        <f aca="false">SUM(Investment!P5:P17)+Investment!$J$19/4</f>
        <v>0.99</v>
      </c>
      <c r="D18" s="41" t="n">
        <f aca="false">SUM(Investment!Q5:Q17)+Investment!$J$19/4</f>
        <v>2.85</v>
      </c>
      <c r="E18" s="41" t="n">
        <f aca="false">SUM(Investment!R5:R17)+Investment!$J$19/4</f>
        <v>4.26</v>
      </c>
      <c r="F18" s="41" t="n">
        <f aca="false">SUM(Investment!S5:S17)+Investment!$J$19/4</f>
        <v>4.26</v>
      </c>
      <c r="G18" s="41" t="n">
        <f aca="false">(Investment!K24)/4</f>
        <v>3.13</v>
      </c>
      <c r="H18" s="41" t="n">
        <f aca="false">(Investment!K24)/4</f>
        <v>3.13</v>
      </c>
      <c r="I18" s="41" t="n">
        <f aca="false">(Investment!K24)/4</f>
        <v>3.13</v>
      </c>
      <c r="J18" s="41" t="n">
        <f aca="false">(Investment!K24)/4</f>
        <v>3.13</v>
      </c>
      <c r="K18" s="41" t="n">
        <f aca="false">(Investment!L24)/4</f>
        <v>3.4175</v>
      </c>
      <c r="L18" s="41" t="n">
        <f aca="false">(Investment!L24)/4</f>
        <v>3.4175</v>
      </c>
      <c r="M18" s="41" t="n">
        <f aca="false">(Investment!L24)/4</f>
        <v>3.4175</v>
      </c>
      <c r="N18" s="41" t="n">
        <f aca="false">(Investment!L24)/4</f>
        <v>3.4175</v>
      </c>
      <c r="O18" s="41" t="n">
        <f aca="false">SUM(C18:F18)</f>
        <v>12.36</v>
      </c>
      <c r="P18" s="41" t="n">
        <f aca="false">SUM(G18:J18)</f>
        <v>12.52</v>
      </c>
      <c r="Q18" s="41" t="n">
        <f aca="false">SUM(K18:N18)</f>
        <v>13.67</v>
      </c>
    </row>
    <row r="19" customFormat="false" ht="15" hidden="false" customHeight="true" outlineLevel="0" collapsed="false">
      <c r="A19" s="4" t="s">
        <v>499</v>
      </c>
      <c r="B19" s="20" t="n">
        <v>96</v>
      </c>
      <c r="C19" s="22" t="n">
        <f aca="false">C16+C17+C18</f>
        <v>26.74763112</v>
      </c>
      <c r="D19" s="22" t="n">
        <f aca="false">D16+D17+D18</f>
        <v>28.60093239594</v>
      </c>
      <c r="E19" s="22" t="n">
        <f aca="false">E16+E17+E18</f>
        <v>30.8781177186429</v>
      </c>
      <c r="F19" s="22" t="n">
        <f aca="false">F16+F17+F18</f>
        <v>30.8708946399528</v>
      </c>
      <c r="G19" s="22" t="n">
        <f aca="false">G16+G17+G18</f>
        <v>31.9804527026592</v>
      </c>
      <c r="H19" s="22" t="n">
        <f aca="false">H16+H17+H18</f>
        <v>31.9760952432898</v>
      </c>
      <c r="I19" s="22" t="n">
        <f aca="false">I16+I17+I18</f>
        <v>32.591651761692</v>
      </c>
      <c r="J19" s="22" t="n">
        <f aca="false">J16+J17+J18</f>
        <v>32.5887702586048</v>
      </c>
      <c r="K19" s="22" t="n">
        <f aca="false">K16+K17+K18</f>
        <v>35.3324146517513</v>
      </c>
      <c r="L19" s="22" t="n">
        <f aca="false">L16+L17+L18</f>
        <v>35.3293412812568</v>
      </c>
      <c r="M19" s="22" t="n">
        <f aca="false">M16+M17+M18</f>
        <v>35.6569868001768</v>
      </c>
      <c r="N19" s="22" t="n">
        <f aca="false">N16+N17+N18</f>
        <v>35.6570169787194</v>
      </c>
      <c r="O19" s="22" t="n">
        <f aca="false">SUM(C19:F19)</f>
        <v>117.097575874536</v>
      </c>
      <c r="P19" s="22" t="n">
        <f aca="false">SUM(G19:J19)</f>
        <v>129.136969966246</v>
      </c>
      <c r="Q19" s="22" t="n">
        <f aca="false">SUM(K19:N19)</f>
        <v>141.975759711904</v>
      </c>
    </row>
    <row r="20" customFormat="false" ht="15" hidden="false" customHeight="true" outlineLevel="0" collapsed="false">
      <c r="A20" s="8" t="s">
        <v>500</v>
      </c>
      <c r="C20" s="41" t="n">
        <f aca="false">Assumptions!$B$56/4*(1+Assumptions!$B$57)^1+Investment!J23/4</f>
        <v>32.8298</v>
      </c>
      <c r="D20" s="41" t="n">
        <f aca="false">Assumptions!$B$56/4*(1+Assumptions!$B$57)^1+Investment!J23/4</f>
        <v>32.8298</v>
      </c>
      <c r="E20" s="41" t="n">
        <f aca="false">Assumptions!$B$56/4*(1+Assumptions!$B$57)^1+Investment!J23/4</f>
        <v>32.8298</v>
      </c>
      <c r="F20" s="41" t="n">
        <f aca="false">Assumptions!$B$56/4*(1+Assumptions!$B$57)^1+Investment!J23/4</f>
        <v>32.8298</v>
      </c>
      <c r="G20" s="41" t="n">
        <f aca="false">Assumptions!$B$56/4*(1+Assumptions!$B$57)^2+Investment!K23/4</f>
        <v>34.640588</v>
      </c>
      <c r="H20" s="41" t="n">
        <f aca="false">Assumptions!$B$56/4*(1+Assumptions!$B$57)^2+Investment!K23/4</f>
        <v>34.640588</v>
      </c>
      <c r="I20" s="41" t="n">
        <f aca="false">Assumptions!$B$56/4*(1+Assumptions!$B$57)^2+Investment!K23/4</f>
        <v>34.640588</v>
      </c>
      <c r="J20" s="41" t="n">
        <f aca="false">Assumptions!$B$56/4*(1+Assumptions!$B$57)^2+Investment!K23/4</f>
        <v>34.640588</v>
      </c>
      <c r="K20" s="41" t="n">
        <f aca="false">Assumptions!$B$56/4*(1+Assumptions!$B$57)^3+Investment!L23/4</f>
        <v>36.71902328</v>
      </c>
      <c r="L20" s="41" t="n">
        <f aca="false">Assumptions!$B$56/4*(1+Assumptions!$B$57)^3+Investment!L23/4</f>
        <v>36.71902328</v>
      </c>
      <c r="M20" s="41" t="n">
        <f aca="false">Assumptions!$B$56/4*(1+Assumptions!$B$57)^3+Investment!L23/4</f>
        <v>36.71902328</v>
      </c>
      <c r="N20" s="41" t="n">
        <f aca="false">Assumptions!$B$56/4*(1+Assumptions!$B$57)^3+Investment!L23/4</f>
        <v>36.71902328</v>
      </c>
      <c r="O20" s="41" t="n">
        <f aca="false">SUM(C20:F20)</f>
        <v>131.3192</v>
      </c>
      <c r="P20" s="41" t="n">
        <f aca="false">SUM(G20:J20)</f>
        <v>138.562352</v>
      </c>
      <c r="Q20" s="41" t="n">
        <f aca="false">SUM(K20:N20)</f>
        <v>146.87609312</v>
      </c>
    </row>
    <row r="21" customFormat="false" ht="15" hidden="false" customHeight="true" outlineLevel="0" collapsed="false">
      <c r="A21" s="8" t="s">
        <v>501</v>
      </c>
      <c r="C21" s="41" t="n">
        <f aca="false">Assumptions!$B$58/4*(1+Assumptions!$B$59)^1</f>
        <v>18.0362</v>
      </c>
      <c r="D21" s="41" t="n">
        <f aca="false">Assumptions!$B$58/4*(1+Assumptions!$B$59)^1</f>
        <v>18.0362</v>
      </c>
      <c r="E21" s="41" t="n">
        <f aca="false">Assumptions!$B$58/4*(1+Assumptions!$B$59)^1</f>
        <v>18.0362</v>
      </c>
      <c r="F21" s="41" t="n">
        <f aca="false">Assumptions!$B$58/4*(1+Assumptions!$B$59)^1</f>
        <v>18.0362</v>
      </c>
      <c r="G21" s="41" t="n">
        <f aca="false">Assumptions!$B$58/4*(1+Assumptions!$B$59)^2</f>
        <v>18.757648</v>
      </c>
      <c r="H21" s="41" t="n">
        <f aca="false">Assumptions!$B$58/4*(1+Assumptions!$B$59)^2</f>
        <v>18.757648</v>
      </c>
      <c r="I21" s="41" t="n">
        <f aca="false">Assumptions!$B$58/4*(1+Assumptions!$B$59)^2</f>
        <v>18.757648</v>
      </c>
      <c r="J21" s="41" t="n">
        <f aca="false">Assumptions!$B$58/4*(1+Assumptions!$B$59)^2</f>
        <v>18.757648</v>
      </c>
      <c r="K21" s="41" t="n">
        <f aca="false">Assumptions!$B$58/4*(1+Assumptions!$B$59)^3</f>
        <v>19.50795392</v>
      </c>
      <c r="L21" s="41" t="n">
        <f aca="false">Assumptions!$B$58/4*(1+Assumptions!$B$59)^3</f>
        <v>19.50795392</v>
      </c>
      <c r="M21" s="41" t="n">
        <f aca="false">Assumptions!$B$58/4*(1+Assumptions!$B$59)^3</f>
        <v>19.50795392</v>
      </c>
      <c r="N21" s="41" t="n">
        <f aca="false">Assumptions!$B$58/4*(1+Assumptions!$B$59)^3</f>
        <v>19.50795392</v>
      </c>
      <c r="O21" s="41" t="n">
        <f aca="false">SUM(C21:F21)</f>
        <v>72.1448</v>
      </c>
      <c r="P21" s="41" t="n">
        <f aca="false">SUM(G21:J21)</f>
        <v>75.030592</v>
      </c>
      <c r="Q21" s="41" t="n">
        <f aca="false">SUM(K21:N21)</f>
        <v>78.03181568</v>
      </c>
    </row>
    <row r="22" customFormat="false" ht="15" hidden="false" customHeight="true" outlineLevel="0" collapsed="false">
      <c r="A22" s="4" t="s">
        <v>502</v>
      </c>
      <c r="B22" s="20" t="n">
        <v>-23.31</v>
      </c>
      <c r="C22" s="22" t="n">
        <f aca="false">C14-C19-C20-C21</f>
        <v>-7.9183458575</v>
      </c>
      <c r="D22" s="22" t="n">
        <f aca="false">D14-D19-D20-D21</f>
        <v>-7.02484350110773</v>
      </c>
      <c r="E22" s="22" t="n">
        <f aca="false">E14-E19-E20-E21</f>
        <v>-6.72450035688061</v>
      </c>
      <c r="F22" s="22" t="n">
        <f aca="false">F14-F19-F20-F21</f>
        <v>-4.24950355345143</v>
      </c>
      <c r="G22" s="22" t="n">
        <f aca="false">G14-G19-G20-G21</f>
        <v>-4.64885319774873</v>
      </c>
      <c r="H22" s="22" t="n">
        <f aca="false">H14-H19-H20-H21</f>
        <v>-1.04617543960843</v>
      </c>
      <c r="I22" s="22" t="n">
        <f aca="false">I14-I19-I20-I21</f>
        <v>2.12356710419037</v>
      </c>
      <c r="J22" s="22" t="n">
        <f aca="false">J14-J19-J20-J21</f>
        <v>6.17241502492252</v>
      </c>
      <c r="K22" s="22" t="n">
        <f aca="false">K14-K19-K20-K21</f>
        <v>5.47697677179264</v>
      </c>
      <c r="L22" s="22" t="n">
        <f aca="false">L14-L19-L20-L21</f>
        <v>10.4870472148107</v>
      </c>
      <c r="M22" s="22" t="n">
        <f aca="false">M14-M19-M20-M21</f>
        <v>15.4962380950148</v>
      </c>
      <c r="N22" s="22" t="n">
        <f aca="false">N14-N19-N20-N21</f>
        <v>21.1558297363228</v>
      </c>
      <c r="O22" s="22" t="n">
        <f aca="false">SUM(C22:F22)</f>
        <v>-25.9171932689398</v>
      </c>
      <c r="P22" s="22" t="n">
        <f aca="false">SUM(G22:J22)</f>
        <v>2.60095349175574</v>
      </c>
      <c r="Q22" s="22" t="n">
        <f aca="false">SUM(K22:N22)</f>
        <v>52.616091817941</v>
      </c>
    </row>
    <row r="23" customFormat="false" ht="15" hidden="false" customHeight="true" outlineLevel="0" collapsed="false">
      <c r="A23" s="8" t="s">
        <v>503</v>
      </c>
      <c r="C23" s="43" t="n">
        <f aca="false">C22/C8</f>
        <v>-0.0789989323750151</v>
      </c>
      <c r="D23" s="43" t="n">
        <f aca="false">D22/D8</f>
        <v>-0.0663335446416807</v>
      </c>
      <c r="E23" s="43" t="n">
        <f aca="false">E22/E8</f>
        <v>-0.061196111169596</v>
      </c>
      <c r="F23" s="43" t="n">
        <f aca="false">F22/F8</f>
        <v>-0.0374238514308558</v>
      </c>
      <c r="G23" s="43" t="n">
        <f aca="false">G22/G8</f>
        <v>-0.0387529647804115</v>
      </c>
      <c r="H23" s="43" t="n">
        <f aca="false">H22/H8</f>
        <v>-0.0083556382563116</v>
      </c>
      <c r="I23" s="43" t="n">
        <f aca="false">I22/I8</f>
        <v>0.0162857655431034</v>
      </c>
      <c r="J23" s="43" t="n">
        <f aca="false">J22/J8</f>
        <v>0.0454715313474375</v>
      </c>
      <c r="K23" s="43" t="n">
        <f aca="false">K22/K8</f>
        <v>0.0380048105068345</v>
      </c>
      <c r="L23" s="43" t="n">
        <f aca="false">L22/L8</f>
        <v>0.0694679836787208</v>
      </c>
      <c r="M23" s="43" t="n">
        <f aca="false">M22/M8</f>
        <v>0.0978430226675418</v>
      </c>
      <c r="N23" s="43" t="n">
        <f aca="false">N22/N8</f>
        <v>0.127488162705551</v>
      </c>
      <c r="O23" s="43" t="n">
        <f aca="false">O22/O8</f>
        <v>-0.0603328023566163</v>
      </c>
      <c r="P23" s="43" t="n">
        <f aca="false">P22/P8</f>
        <v>0.00508690607234043</v>
      </c>
      <c r="Q23" s="43" t="n">
        <f aca="false">Q22/Q8</f>
        <v>0.0849472704133313</v>
      </c>
    </row>
    <row r="24" customFormat="false" ht="15" hidden="false" customHeight="true" outlineLevel="0" collapsed="false">
      <c r="A24" s="4" t="s">
        <v>504</v>
      </c>
      <c r="B24" s="48" t="n">
        <f aca="false">96/((41+22)*0.683)*12</f>
        <v>26.7726417067559</v>
      </c>
      <c r="C24" s="18" t="n">
        <f aca="false">C19/((ARR_bridge!C6+ARR_bridge!C7+ARR_bridge!C8)*C15)*12</f>
        <v>31.0426040928447</v>
      </c>
      <c r="D24" s="18" t="n">
        <f aca="false">D19/((ARR_bridge!D6+ARR_bridge!D7+ARR_bridge!D8)*D15)*12</f>
        <v>28.8836984291116</v>
      </c>
      <c r="E24" s="18" t="n">
        <f aca="false">E19/((ARR_bridge!E6+ARR_bridge!E7+ARR_bridge!E8)*E15)*12</f>
        <v>29.4395136516084</v>
      </c>
      <c r="F24" s="18" t="n">
        <f aca="false">F19/((ARR_bridge!F6+ARR_bridge!F7+ARR_bridge!F8)*F15)*12</f>
        <v>28.0530139643744</v>
      </c>
      <c r="G24" s="18" t="n">
        <f aca="false">G19/((ARR_bridge!G6+ARR_bridge!G7+ARR_bridge!G8)*G15)*12</f>
        <v>25.43112882657</v>
      </c>
      <c r="H24" s="18" t="n">
        <f aca="false">H19/((ARR_bridge!H6+ARR_bridge!H7+ARR_bridge!H8)*H15)*12</f>
        <v>23.5845453196373</v>
      </c>
      <c r="I24" s="18" t="n">
        <f aca="false">I19/((ARR_bridge!I6+ARR_bridge!I7+ARR_bridge!I8)*I15)*12</f>
        <v>22.5435864064453</v>
      </c>
      <c r="J24" s="18" t="n">
        <f aca="false">J19/((ARR_bridge!J6+ARR_bridge!J7+ARR_bridge!J8)*J15)*12</f>
        <v>21.2113248291072</v>
      </c>
      <c r="K24" s="18" t="n">
        <f aca="false">K19/((ARR_bridge!K6+ARR_bridge!K7+ARR_bridge!K8)*K15)*12</f>
        <v>20.6021272230825</v>
      </c>
      <c r="L24" s="18" t="n">
        <f aca="false">L19/((ARR_bridge!L6+ARR_bridge!L7+ARR_bridge!L8)*L15)*12</f>
        <v>19.4015762126315</v>
      </c>
      <c r="M24" s="18" t="n">
        <f aca="false">M19/((ARR_bridge!M6+ARR_bridge!M7+ARR_bridge!M8)*M15)*12</f>
        <v>18.3685992701893</v>
      </c>
      <c r="N24" s="18" t="n">
        <f aca="false">N19/((ARR_bridge!N6+ARR_bridge!N7+ARR_bridge!N8)*N15)*12</f>
        <v>17.3177067122481</v>
      </c>
      <c r="O24" s="18" t="n">
        <f aca="false">O19/((ARR_bridge!O6+ARR_bridge!O7+ARR_bridge!O8)*O15)*12</f>
        <v>29.2544822687884</v>
      </c>
      <c r="P24" s="18" t="n">
        <f aca="false">P19/((ARR_bridge!P6+ARR_bridge!P7+ARR_bridge!P8)*P15)*12</f>
        <v>23.0807980384068</v>
      </c>
      <c r="Q24" s="18" t="n">
        <f aca="false">Q19/((ARR_bridge!Q6+ARR_bridge!Q7+ARR_bridge!Q8)*Q15)*12</f>
        <v>18.8402697770087</v>
      </c>
      <c r="R24" s="7" t="s">
        <v>505</v>
      </c>
    </row>
    <row r="25" customFormat="false" ht="15" hidden="false" customHeight="true" outlineLevel="0" collapsed="false">
      <c r="A25" s="8" t="s">
        <v>506</v>
      </c>
      <c r="B25" s="43" t="n">
        <f aca="false">96/310</f>
        <v>0.309677419354839</v>
      </c>
      <c r="C25" s="43" t="n">
        <f aca="false">C19*4/ARR_bridge!C12</f>
        <v>0.336253496242152</v>
      </c>
      <c r="D25" s="43" t="n">
        <f aca="false">D19*4/ARR_bridge!D12</f>
        <v>0.347818107475506</v>
      </c>
      <c r="E25" s="43" t="n">
        <f aca="false">E19*4/ARR_bridge!E12</f>
        <v>0.362497749369141</v>
      </c>
      <c r="F25" s="43" t="n">
        <f aca="false">F19*4/ARR_bridge!F12</f>
        <v>0.351860276358711</v>
      </c>
      <c r="G25" s="43" t="n">
        <f aca="false">G19*4/ARR_bridge!G12</f>
        <v>0.348970565593184</v>
      </c>
      <c r="H25" s="43" t="n">
        <f aca="false">H19*4/ARR_bridge!H12</f>
        <v>0.333212539318334</v>
      </c>
      <c r="I25" s="43" t="n">
        <f aca="false">I19*4/ARR_bridge!I12</f>
        <v>0.323837373870849</v>
      </c>
      <c r="J25" s="43" t="n">
        <f aca="false">J19*4/ARR_bridge!J12</f>
        <v>0.30840232789215</v>
      </c>
      <c r="K25" s="43" t="n">
        <f aca="false">K19*4/ARR_bridge!K12</f>
        <v>0.316898365082498</v>
      </c>
      <c r="L25" s="43" t="n">
        <f aca="false">L19*4/ARR_bridge!L12</f>
        <v>0.300177808101622</v>
      </c>
      <c r="M25" s="43" t="n">
        <f aca="false">M19*4/ARR_bridge!M12</f>
        <v>0.286782079578877</v>
      </c>
      <c r="N25" s="43" t="n">
        <f aca="false">N19*4/ARR_bridge!N12</f>
        <v>0.271399155357359</v>
      </c>
      <c r="O25" s="15" t="n">
        <f aca="false">O19/ARR_bridge!O12</f>
        <v>0.333663681346847</v>
      </c>
      <c r="P25" s="15" t="n">
        <f aca="false">P19/ARR_bridge!P12</f>
        <v>0.305520443380439</v>
      </c>
      <c r="Q25" s="15" t="n">
        <f aca="false">Q19/ARR_bridge!Q12</f>
        <v>0.27015791372864</v>
      </c>
      <c r="R25" s="7"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4" min="2" style="1" width="9"/>
    <col collapsed="false" customWidth="true" hidden="false" outlineLevel="0" max="8" min="5" style="1" width="8"/>
    <col collapsed="false" customWidth="true" hidden="false" outlineLevel="0" max="12" min="9" style="1" width="10"/>
    <col collapsed="false" customWidth="true" hidden="false" outlineLevel="0" max="13" min="13" style="1" width="50"/>
    <col collapsed="false" customWidth="true" hidden="true" outlineLevel="0" max="14" min="14" style="1" width="13"/>
  </cols>
  <sheetData>
    <row r="1" customFormat="false" ht="15.75" hidden="false" customHeight="true" outlineLevel="0" collapsed="false">
      <c r="A1" s="2" t="s">
        <v>508</v>
      </c>
    </row>
    <row r="2" customFormat="false" ht="15" hidden="false" customHeight="true" outlineLevel="0" collapsed="false">
      <c r="A2" s="5" t="s">
        <v>509</v>
      </c>
    </row>
    <row r="4" customFormat="false" ht="23.25" hidden="false" customHeight="true" outlineLevel="0" collapsed="false">
      <c r="A4" s="11" t="s">
        <v>510</v>
      </c>
      <c r="B4" s="12" t="s">
        <v>31</v>
      </c>
      <c r="C4" s="12" t="s">
        <v>32</v>
      </c>
      <c r="D4" s="12" t="s">
        <v>33</v>
      </c>
      <c r="E4" s="12" t="s">
        <v>22</v>
      </c>
      <c r="F4" s="12" t="s">
        <v>511</v>
      </c>
      <c r="G4" s="12" t="s">
        <v>512</v>
      </c>
      <c r="H4" s="12" t="s">
        <v>513</v>
      </c>
      <c r="I4" s="12" t="s">
        <v>514</v>
      </c>
      <c r="J4" s="12" t="s">
        <v>515</v>
      </c>
      <c r="K4" s="12" t="s">
        <v>516</v>
      </c>
      <c r="L4" s="12" t="s">
        <v>517</v>
      </c>
      <c r="M4" s="12" t="s">
        <v>518</v>
      </c>
      <c r="P4" s="59" t="s">
        <v>519</v>
      </c>
      <c r="Q4" s="59" t="s">
        <v>520</v>
      </c>
      <c r="R4" s="59" t="s">
        <v>521</v>
      </c>
      <c r="S4" s="59" t="s">
        <v>522</v>
      </c>
    </row>
    <row r="5" customFormat="false" ht="15" hidden="false" customHeight="true" outlineLevel="0" collapsed="false">
      <c r="A5" s="8" t="s">
        <v>523</v>
      </c>
      <c r="B5" s="20" t="n">
        <v>1.52</v>
      </c>
      <c r="C5" s="20" t="n">
        <v>1.61</v>
      </c>
      <c r="D5" s="20" t="n">
        <v>1.71</v>
      </c>
      <c r="E5" s="19" t="n">
        <v>1</v>
      </c>
      <c r="F5" s="19" t="n">
        <v>1</v>
      </c>
      <c r="G5" s="19" t="n">
        <v>1</v>
      </c>
      <c r="H5" s="19" t="n">
        <v>1</v>
      </c>
      <c r="I5" s="60" t="s">
        <v>524</v>
      </c>
      <c r="J5" s="41" t="n">
        <f aca="false">B5*INDEX(E5:H5,Assumptions!$C$5)</f>
        <v>1.52</v>
      </c>
      <c r="K5" s="41" t="n">
        <f aca="false">C5*INDEX(E5:H5,Assumptions!$C$5)</f>
        <v>1.61</v>
      </c>
      <c r="L5" s="41" t="n">
        <f aca="false">D5*INDEX(E5:H5,Assumptions!$C$5)</f>
        <v>1.71</v>
      </c>
      <c r="M5" s="7" t="s">
        <v>525</v>
      </c>
      <c r="N5" s="1" t="s">
        <v>526</v>
      </c>
      <c r="P5" s="41" t="n">
        <f aca="false">J5*0.25*IF(N5="S&amp;M",1,0)</f>
        <v>0.38</v>
      </c>
      <c r="Q5" s="41" t="n">
        <f aca="false">J5*0.25*IF(N5="S&amp;M",1,0)</f>
        <v>0.38</v>
      </c>
      <c r="R5" s="41" t="n">
        <f aca="false">J5*0.25*IF(N5="S&amp;M",1,0)</f>
        <v>0.38</v>
      </c>
      <c r="S5" s="41" t="n">
        <f aca="false">J5*0.25*IF(N5="S&amp;M",1,0)</f>
        <v>0.38</v>
      </c>
    </row>
    <row r="6" customFormat="false" ht="15" hidden="false" customHeight="true" outlineLevel="0" collapsed="false">
      <c r="A6" s="8" t="s">
        <v>527</v>
      </c>
      <c r="B6" s="20" t="n">
        <v>0.82</v>
      </c>
      <c r="C6" s="20" t="n">
        <v>0.87</v>
      </c>
      <c r="D6" s="20" t="n">
        <v>0.92</v>
      </c>
      <c r="E6" s="19" t="n">
        <v>1</v>
      </c>
      <c r="F6" s="19" t="n">
        <v>1</v>
      </c>
      <c r="G6" s="19" t="n">
        <v>1</v>
      </c>
      <c r="H6" s="19" t="n">
        <v>1</v>
      </c>
      <c r="I6" s="60" t="s">
        <v>528</v>
      </c>
      <c r="J6" s="41" t="n">
        <f aca="false">B6*INDEX(E6:H6,Assumptions!$C$5)</f>
        <v>0.82</v>
      </c>
      <c r="K6" s="41" t="n">
        <f aca="false">C6*INDEX(E6:H6,Assumptions!$C$5)</f>
        <v>0.87</v>
      </c>
      <c r="L6" s="41" t="n">
        <f aca="false">D6*INDEX(E6:H6,Assumptions!$C$5)</f>
        <v>0.92</v>
      </c>
      <c r="M6" s="7" t="s">
        <v>529</v>
      </c>
      <c r="N6" s="1" t="s">
        <v>526</v>
      </c>
      <c r="P6" s="41" t="n">
        <f aca="false">J6*0*IF(N6="S&amp;M",1,0)</f>
        <v>0</v>
      </c>
      <c r="Q6" s="41" t="n">
        <f aca="false">J6*1/3*IF(N6="S&amp;M",1,0)</f>
        <v>0.273333333333333</v>
      </c>
      <c r="R6" s="41" t="n">
        <f aca="false">J6*1/3*IF(N6="S&amp;M",1,0)</f>
        <v>0.273333333333333</v>
      </c>
      <c r="S6" s="41" t="n">
        <f aca="false">J6*1/3*IF(N6="S&amp;M",1,0)</f>
        <v>0.273333333333333</v>
      </c>
    </row>
    <row r="7" customFormat="false" ht="15" hidden="false" customHeight="true" outlineLevel="0" collapsed="false">
      <c r="A7" s="8" t="s">
        <v>530</v>
      </c>
      <c r="B7" s="20" t="n">
        <v>1</v>
      </c>
      <c r="C7" s="20" t="n">
        <v>1.06</v>
      </c>
      <c r="D7" s="20" t="n">
        <v>1.12</v>
      </c>
      <c r="E7" s="19" t="n">
        <v>1</v>
      </c>
      <c r="F7" s="19" t="n">
        <v>1</v>
      </c>
      <c r="G7" s="19" t="n">
        <v>1</v>
      </c>
      <c r="H7" s="19" t="n">
        <v>1</v>
      </c>
      <c r="I7" s="60" t="s">
        <v>528</v>
      </c>
      <c r="J7" s="41" t="n">
        <f aca="false">B7*INDEX(E7:H7,Assumptions!$C$5)</f>
        <v>1</v>
      </c>
      <c r="K7" s="41" t="n">
        <f aca="false">C7*INDEX(E7:H7,Assumptions!$C$5)</f>
        <v>1.06</v>
      </c>
      <c r="L7" s="41" t="n">
        <f aca="false">D7*INDEX(E7:H7,Assumptions!$C$5)</f>
        <v>1.12</v>
      </c>
      <c r="M7" s="7" t="s">
        <v>531</v>
      </c>
      <c r="N7" s="1" t="s">
        <v>526</v>
      </c>
      <c r="P7" s="41" t="n">
        <f aca="false">J7*0*IF(N7="S&amp;M",1,0)</f>
        <v>0</v>
      </c>
      <c r="Q7" s="41" t="n">
        <f aca="false">J7*1/3*IF(N7="S&amp;M",1,0)</f>
        <v>0.333333333333333</v>
      </c>
      <c r="R7" s="41" t="n">
        <f aca="false">J7*1/3*IF(N7="S&amp;M",1,0)</f>
        <v>0.333333333333333</v>
      </c>
      <c r="S7" s="41" t="n">
        <f aca="false">J7*1/3*IF(N7="S&amp;M",1,0)</f>
        <v>0.333333333333333</v>
      </c>
    </row>
    <row r="8" customFormat="false" ht="15" hidden="false" customHeight="true" outlineLevel="0" collapsed="false">
      <c r="A8" s="8" t="s">
        <v>532</v>
      </c>
      <c r="B8" s="20" t="n">
        <v>0.4</v>
      </c>
      <c r="C8" s="20" t="n">
        <v>0.5</v>
      </c>
      <c r="D8" s="20" t="n">
        <v>0.6</v>
      </c>
      <c r="E8" s="19" t="n">
        <v>1</v>
      </c>
      <c r="F8" s="19" t="n">
        <v>1</v>
      </c>
      <c r="G8" s="19" t="n">
        <v>1</v>
      </c>
      <c r="H8" s="19" t="n">
        <v>1</v>
      </c>
      <c r="I8" s="60" t="s">
        <v>528</v>
      </c>
      <c r="J8" s="41" t="n">
        <f aca="false">B8*INDEX(E8:H8,Assumptions!$C$5)</f>
        <v>0.4</v>
      </c>
      <c r="K8" s="41" t="n">
        <f aca="false">C8*INDEX(E8:H8,Assumptions!$C$5)</f>
        <v>0.5</v>
      </c>
      <c r="L8" s="41" t="n">
        <f aca="false">D8*INDEX(E8:H8,Assumptions!$C$5)</f>
        <v>0.6</v>
      </c>
      <c r="M8" s="7" t="s">
        <v>533</v>
      </c>
      <c r="N8" s="1" t="s">
        <v>526</v>
      </c>
      <c r="P8" s="41" t="n">
        <f aca="false">J8*0*IF(N8="S&amp;M",1,0)</f>
        <v>0</v>
      </c>
      <c r="Q8" s="41" t="n">
        <f aca="false">J8*1/3*IF(N8="S&amp;M",1,0)</f>
        <v>0.133333333333333</v>
      </c>
      <c r="R8" s="41" t="n">
        <f aca="false">J8*1/3*IF(N8="S&amp;M",1,0)</f>
        <v>0.133333333333333</v>
      </c>
      <c r="S8" s="41" t="n">
        <f aca="false">J8*1/3*IF(N8="S&amp;M",1,0)</f>
        <v>0.133333333333333</v>
      </c>
    </row>
    <row r="9" customFormat="false" ht="15" hidden="false" customHeight="true" outlineLevel="0" collapsed="false">
      <c r="A9" s="8" t="s">
        <v>534</v>
      </c>
      <c r="B9" s="20" t="n">
        <v>0.92</v>
      </c>
      <c r="C9" s="20" t="n">
        <v>0.6</v>
      </c>
      <c r="D9" s="20" t="n">
        <v>0.64</v>
      </c>
      <c r="E9" s="19" t="n">
        <v>1</v>
      </c>
      <c r="F9" s="19" t="n">
        <v>1</v>
      </c>
      <c r="G9" s="19" t="n">
        <v>1</v>
      </c>
      <c r="H9" s="19" t="n">
        <v>1</v>
      </c>
      <c r="I9" s="60" t="s">
        <v>528</v>
      </c>
      <c r="J9" s="41" t="n">
        <f aca="false">B9*INDEX(E9:H9,Assumptions!$C$5)</f>
        <v>0.92</v>
      </c>
      <c r="K9" s="41" t="n">
        <f aca="false">C9*INDEX(E9:H9,Assumptions!$C$5)</f>
        <v>0.6</v>
      </c>
      <c r="L9" s="41" t="n">
        <f aca="false">D9*INDEX(E9:H9,Assumptions!$C$5)</f>
        <v>0.64</v>
      </c>
      <c r="M9" s="7" t="s">
        <v>535</v>
      </c>
      <c r="N9" s="1" t="s">
        <v>526</v>
      </c>
      <c r="P9" s="41" t="n">
        <f aca="false">J9*0*IF(N9="S&amp;M",1,0)</f>
        <v>0</v>
      </c>
      <c r="Q9" s="41" t="n">
        <f aca="false">J9*1/3*IF(N9="S&amp;M",1,0)</f>
        <v>0.306666666666667</v>
      </c>
      <c r="R9" s="41" t="n">
        <f aca="false">J9*1/3*IF(N9="S&amp;M",1,0)</f>
        <v>0.306666666666667</v>
      </c>
      <c r="S9" s="41" t="n">
        <f aca="false">J9*1/3*IF(N9="S&amp;M",1,0)</f>
        <v>0.306666666666667</v>
      </c>
    </row>
    <row r="10" customFormat="false" ht="15" hidden="false" customHeight="true" outlineLevel="0" collapsed="false">
      <c r="A10" s="8" t="s">
        <v>536</v>
      </c>
      <c r="B10" s="20" t="n">
        <v>0.64</v>
      </c>
      <c r="C10" s="20" t="n">
        <v>0.68</v>
      </c>
      <c r="D10" s="20" t="n">
        <v>0.72</v>
      </c>
      <c r="E10" s="19" t="n">
        <v>1</v>
      </c>
      <c r="F10" s="19" t="n">
        <v>1</v>
      </c>
      <c r="G10" s="19" t="n">
        <v>1</v>
      </c>
      <c r="H10" s="19" t="n">
        <v>1</v>
      </c>
      <c r="I10" s="60" t="s">
        <v>528</v>
      </c>
      <c r="J10" s="41" t="n">
        <f aca="false">B10*INDEX(E10:H10,Assumptions!$C$5)</f>
        <v>0.64</v>
      </c>
      <c r="K10" s="41" t="n">
        <f aca="false">C10*INDEX(E10:H10,Assumptions!$C$5)</f>
        <v>0.68</v>
      </c>
      <c r="L10" s="41" t="n">
        <f aca="false">D10*INDEX(E10:H10,Assumptions!$C$5)</f>
        <v>0.72</v>
      </c>
      <c r="M10" s="7" t="s">
        <v>537</v>
      </c>
      <c r="N10" s="1" t="s">
        <v>526</v>
      </c>
      <c r="P10" s="41" t="n">
        <f aca="false">J10*0*IF(N10="S&amp;M",1,0)</f>
        <v>0</v>
      </c>
      <c r="Q10" s="41" t="n">
        <f aca="false">J10*1/3*IF(N10="S&amp;M",1,0)</f>
        <v>0.213333333333333</v>
      </c>
      <c r="R10" s="41" t="n">
        <f aca="false">J10*1/3*IF(N10="S&amp;M",1,0)</f>
        <v>0.213333333333333</v>
      </c>
      <c r="S10" s="41" t="n">
        <f aca="false">J10*1/3*IF(N10="S&amp;M",1,0)</f>
        <v>0.213333333333333</v>
      </c>
    </row>
    <row r="11" customFormat="false" ht="15" hidden="false" customHeight="true" outlineLevel="0" collapsed="false">
      <c r="A11" s="8" t="s">
        <v>538</v>
      </c>
      <c r="B11" s="20" t="n">
        <v>1</v>
      </c>
      <c r="C11" s="20" t="n">
        <v>0.85</v>
      </c>
      <c r="D11" s="20" t="n">
        <v>0.9</v>
      </c>
      <c r="E11" s="19" t="n">
        <v>1</v>
      </c>
      <c r="F11" s="19" t="n">
        <v>1</v>
      </c>
      <c r="G11" s="19" t="n">
        <v>1</v>
      </c>
      <c r="H11" s="19" t="n">
        <v>1</v>
      </c>
      <c r="I11" s="60" t="s">
        <v>528</v>
      </c>
      <c r="J11" s="41" t="n">
        <f aca="false">B11*INDEX(E11:H11,Assumptions!$C$5)</f>
        <v>1</v>
      </c>
      <c r="K11" s="41" t="n">
        <f aca="false">C11*INDEX(E11:H11,Assumptions!$C$5)</f>
        <v>0.85</v>
      </c>
      <c r="L11" s="41" t="n">
        <f aca="false">D11*INDEX(E11:H11,Assumptions!$C$5)</f>
        <v>0.9</v>
      </c>
      <c r="M11" s="7" t="s">
        <v>539</v>
      </c>
      <c r="N11" s="1" t="s">
        <v>526</v>
      </c>
      <c r="P11" s="41" t="n">
        <f aca="false">J11*0*IF(N11="S&amp;M",1,0)</f>
        <v>0</v>
      </c>
      <c r="Q11" s="41" t="n">
        <f aca="false">J11*1/3*IF(N11="S&amp;M",1,0)</f>
        <v>0.333333333333333</v>
      </c>
      <c r="R11" s="41" t="n">
        <f aca="false">J11*1/3*IF(N11="S&amp;M",1,0)</f>
        <v>0.333333333333333</v>
      </c>
      <c r="S11" s="41" t="n">
        <f aca="false">J11*1/3*IF(N11="S&amp;M",1,0)</f>
        <v>0.333333333333333</v>
      </c>
    </row>
    <row r="12" customFormat="false" ht="15" hidden="false" customHeight="true" outlineLevel="0" collapsed="false">
      <c r="A12" s="8" t="s">
        <v>540</v>
      </c>
      <c r="B12" s="20" t="n">
        <v>0.6</v>
      </c>
      <c r="C12" s="20" t="n">
        <v>0</v>
      </c>
      <c r="D12" s="20" t="n">
        <v>0</v>
      </c>
      <c r="E12" s="19" t="n">
        <v>1</v>
      </c>
      <c r="F12" s="19" t="n">
        <v>1</v>
      </c>
      <c r="G12" s="19" t="n">
        <v>1</v>
      </c>
      <c r="H12" s="19" t="n">
        <v>1</v>
      </c>
      <c r="I12" s="60" t="s">
        <v>524</v>
      </c>
      <c r="J12" s="41" t="n">
        <f aca="false">B12*INDEX(E12:H12,Assumptions!$C$5)</f>
        <v>0.6</v>
      </c>
      <c r="K12" s="41" t="n">
        <f aca="false">C12*INDEX(E12:H12,Assumptions!$C$5)</f>
        <v>0</v>
      </c>
      <c r="L12" s="41" t="n">
        <f aca="false">D12*INDEX(E12:H12,Assumptions!$C$5)</f>
        <v>0</v>
      </c>
      <c r="M12" s="7" t="s">
        <v>541</v>
      </c>
      <c r="N12" s="1" t="s">
        <v>542</v>
      </c>
      <c r="P12" s="41" t="n">
        <f aca="false">J12*0.25*IF(N12="S&amp;M",1,0)</f>
        <v>0</v>
      </c>
      <c r="Q12" s="41" t="n">
        <f aca="false">J12*0.25*IF(N12="S&amp;M",1,0)</f>
        <v>0</v>
      </c>
      <c r="R12" s="41" t="n">
        <f aca="false">J12*0.25*IF(N12="S&amp;M",1,0)</f>
        <v>0</v>
      </c>
      <c r="S12" s="41" t="n">
        <f aca="false">J12*0.25*IF(N12="S&amp;M",1,0)</f>
        <v>0</v>
      </c>
    </row>
    <row r="13" customFormat="false" ht="15" hidden="false" customHeight="true" outlineLevel="0" collapsed="false">
      <c r="A13" s="8" t="s">
        <v>543</v>
      </c>
      <c r="B13" s="20" t="n">
        <v>0.8</v>
      </c>
      <c r="C13" s="20" t="n">
        <v>0.85</v>
      </c>
      <c r="D13" s="20" t="n">
        <v>0.9</v>
      </c>
      <c r="E13" s="19" t="n">
        <v>1</v>
      </c>
      <c r="F13" s="19" t="n">
        <v>1</v>
      </c>
      <c r="G13" s="19" t="n">
        <v>1</v>
      </c>
      <c r="H13" s="19" t="n">
        <v>1</v>
      </c>
      <c r="I13" s="60" t="s">
        <v>528</v>
      </c>
      <c r="J13" s="41" t="n">
        <f aca="false">B13*INDEX(E13:H13,Assumptions!$C$5)</f>
        <v>0.8</v>
      </c>
      <c r="K13" s="41" t="n">
        <f aca="false">C13*INDEX(E13:H13,Assumptions!$C$5)</f>
        <v>0.85</v>
      </c>
      <c r="L13" s="41" t="n">
        <f aca="false">D13*INDEX(E13:H13,Assumptions!$C$5)</f>
        <v>0.9</v>
      </c>
      <c r="M13" s="7" t="s">
        <v>544</v>
      </c>
      <c r="N13" s="1" t="s">
        <v>526</v>
      </c>
      <c r="P13" s="41" t="n">
        <f aca="false">J13*0*IF(N13="S&amp;M",1,0)</f>
        <v>0</v>
      </c>
      <c r="Q13" s="41" t="n">
        <f aca="false">J13*1/3*IF(N13="S&amp;M",1,0)</f>
        <v>0.266666666666667</v>
      </c>
      <c r="R13" s="41" t="n">
        <f aca="false">J13*1/3*IF(N13="S&amp;M",1,0)</f>
        <v>0.266666666666667</v>
      </c>
      <c r="S13" s="41" t="n">
        <f aca="false">J13*1/3*IF(N13="S&amp;M",1,0)</f>
        <v>0.266666666666667</v>
      </c>
    </row>
    <row r="14" customFormat="false" ht="15" hidden="false" customHeight="true" outlineLevel="0" collapsed="false">
      <c r="A14" s="8" t="s">
        <v>545</v>
      </c>
      <c r="B14" s="20" t="n">
        <v>0.9</v>
      </c>
      <c r="C14" s="20" t="n">
        <v>0</v>
      </c>
      <c r="D14" s="20" t="n">
        <v>0</v>
      </c>
      <c r="E14" s="19" t="n">
        <v>1</v>
      </c>
      <c r="F14" s="19" t="n">
        <v>1</v>
      </c>
      <c r="G14" s="19" t="n">
        <v>1</v>
      </c>
      <c r="H14" s="19" t="n">
        <v>1</v>
      </c>
      <c r="I14" s="60" t="s">
        <v>546</v>
      </c>
      <c r="J14" s="41" t="n">
        <f aca="false">B14*INDEX(E14:H14,Assumptions!$C$5)</f>
        <v>0.9</v>
      </c>
      <c r="K14" s="41" t="n">
        <f aca="false">C14*INDEX(E14:H14,Assumptions!$C$5)</f>
        <v>0</v>
      </c>
      <c r="L14" s="41" t="n">
        <f aca="false">D14*INDEX(E14:H14,Assumptions!$C$5)</f>
        <v>0</v>
      </c>
      <c r="M14" s="7" t="s">
        <v>547</v>
      </c>
      <c r="N14" s="1" t="s">
        <v>526</v>
      </c>
      <c r="P14" s="41" t="n">
        <f aca="false">J14*0*IF(N14="S&amp;M",1,0)</f>
        <v>0</v>
      </c>
      <c r="Q14" s="41" t="n">
        <f aca="false">J14*0*IF(N14="S&amp;M",1,0)</f>
        <v>0</v>
      </c>
      <c r="R14" s="41" t="n">
        <f aca="false">J14*0.5*IF(N14="S&amp;M",1,0)</f>
        <v>0.45</v>
      </c>
      <c r="S14" s="41" t="n">
        <f aca="false">J14*0.5*IF(N14="S&amp;M",1,0)</f>
        <v>0.45</v>
      </c>
    </row>
    <row r="15" customFormat="false" ht="15" hidden="false" customHeight="true" outlineLevel="0" collapsed="false">
      <c r="A15" s="8" t="s">
        <v>548</v>
      </c>
      <c r="B15" s="20" t="n">
        <v>1.6</v>
      </c>
      <c r="C15" s="20" t="n">
        <v>1.7</v>
      </c>
      <c r="D15" s="20" t="n">
        <v>1.8</v>
      </c>
      <c r="E15" s="19" t="n">
        <v>1</v>
      </c>
      <c r="F15" s="19" t="n">
        <v>1</v>
      </c>
      <c r="G15" s="19" t="n">
        <v>1</v>
      </c>
      <c r="H15" s="19" t="n">
        <v>0</v>
      </c>
      <c r="I15" s="60" t="s">
        <v>546</v>
      </c>
      <c r="J15" s="41" t="n">
        <f aca="false">B15*INDEX(E15:H15,Assumptions!$C$5)</f>
        <v>1.6</v>
      </c>
      <c r="K15" s="41" t="n">
        <f aca="false">C15*INDEX(E15:H15,Assumptions!$C$5)</f>
        <v>1.7</v>
      </c>
      <c r="L15" s="41" t="n">
        <f aca="false">D15*INDEX(E15:H15,Assumptions!$C$5)</f>
        <v>1.8</v>
      </c>
      <c r="M15" s="7" t="s">
        <v>549</v>
      </c>
      <c r="N15" s="1" t="s">
        <v>526</v>
      </c>
      <c r="P15" s="41" t="n">
        <f aca="false">J15*0*IF(N15="S&amp;M",1,0)</f>
        <v>0</v>
      </c>
      <c r="Q15" s="41" t="n">
        <f aca="false">J15*0*IF(N15="S&amp;M",1,0)</f>
        <v>0</v>
      </c>
      <c r="R15" s="41" t="n">
        <f aca="false">J15*0.5*IF(N15="S&amp;M",1,0)</f>
        <v>0.8</v>
      </c>
      <c r="S15" s="41" t="n">
        <f aca="false">J15*0.5*IF(N15="S&amp;M",1,0)</f>
        <v>0.8</v>
      </c>
    </row>
    <row r="16" customFormat="false" ht="15" hidden="false" customHeight="true" outlineLevel="0" collapsed="false">
      <c r="A16" s="8" t="s">
        <v>550</v>
      </c>
      <c r="B16" s="20" t="n">
        <v>0.32</v>
      </c>
      <c r="C16" s="20" t="n">
        <v>0.34</v>
      </c>
      <c r="D16" s="20" t="n">
        <v>0.36</v>
      </c>
      <c r="E16" s="19" t="n">
        <v>1</v>
      </c>
      <c r="F16" s="19" t="n">
        <v>1</v>
      </c>
      <c r="G16" s="19" t="n">
        <v>1</v>
      </c>
      <c r="H16" s="19" t="n">
        <v>0</v>
      </c>
      <c r="I16" s="60" t="s">
        <v>546</v>
      </c>
      <c r="J16" s="41" t="n">
        <f aca="false">B16*INDEX(E16:H16,Assumptions!$C$5)</f>
        <v>0.32</v>
      </c>
      <c r="K16" s="41" t="n">
        <f aca="false">C16*INDEX(E16:H16,Assumptions!$C$5)</f>
        <v>0.34</v>
      </c>
      <c r="L16" s="41" t="n">
        <f aca="false">D16*INDEX(E16:H16,Assumptions!$C$5)</f>
        <v>0.36</v>
      </c>
      <c r="M16" s="7" t="s">
        <v>551</v>
      </c>
      <c r="N16" s="1" t="s">
        <v>526</v>
      </c>
      <c r="P16" s="41" t="n">
        <f aca="false">J16*0*IF(N16="S&amp;M",1,0)</f>
        <v>0</v>
      </c>
      <c r="Q16" s="41" t="n">
        <f aca="false">J16*0*IF(N16="S&amp;M",1,0)</f>
        <v>0</v>
      </c>
      <c r="R16" s="41" t="n">
        <f aca="false">J16*0.5*IF(N16="S&amp;M",1,0)</f>
        <v>0.16</v>
      </c>
      <c r="S16" s="41" t="n">
        <f aca="false">J16*0.5*IF(N16="S&amp;M",1,0)</f>
        <v>0.16</v>
      </c>
    </row>
    <row r="17" customFormat="false" ht="15" hidden="false" customHeight="true" outlineLevel="0" collapsed="false">
      <c r="A17" s="8" t="s">
        <v>552</v>
      </c>
      <c r="B17" s="20" t="n">
        <v>1.2</v>
      </c>
      <c r="C17" s="20" t="n">
        <v>1.3</v>
      </c>
      <c r="D17" s="20" t="n">
        <v>1.4</v>
      </c>
      <c r="E17" s="19" t="n">
        <v>0</v>
      </c>
      <c r="F17" s="19" t="n">
        <v>0</v>
      </c>
      <c r="G17" s="19" t="n">
        <v>1</v>
      </c>
      <c r="H17" s="19" t="n">
        <v>0</v>
      </c>
      <c r="I17" s="60" t="s">
        <v>546</v>
      </c>
      <c r="J17" s="41" t="n">
        <f aca="false">B17*INDEX(E17:H17,Assumptions!$C$5)</f>
        <v>0</v>
      </c>
      <c r="K17" s="41" t="n">
        <f aca="false">C17*INDEX(E17:H17,Assumptions!$C$5)</f>
        <v>0</v>
      </c>
      <c r="L17" s="41" t="n">
        <f aca="false">D17*INDEX(E17:H17,Assumptions!$C$5)</f>
        <v>0</v>
      </c>
      <c r="M17" s="7" t="s">
        <v>553</v>
      </c>
      <c r="N17" s="1" t="s">
        <v>526</v>
      </c>
      <c r="P17" s="41" t="n">
        <f aca="false">J17*0*IF(N17="S&amp;M",1,0)</f>
        <v>0</v>
      </c>
      <c r="Q17" s="41" t="n">
        <f aca="false">J17*0*IF(N17="S&amp;M",1,0)</f>
        <v>0</v>
      </c>
      <c r="R17" s="41" t="n">
        <f aca="false">J17*0.5*IF(N17="S&amp;M",1,0)</f>
        <v>0</v>
      </c>
      <c r="S17" s="41" t="n">
        <f aca="false">J17*0.5*IF(N17="S&amp;M",1,0)</f>
        <v>0</v>
      </c>
    </row>
    <row r="18" customFormat="false" ht="15" hidden="false" customHeight="true" outlineLevel="0" collapsed="false">
      <c r="A18" s="4" t="s">
        <v>554</v>
      </c>
      <c r="I18" s="1" t="s">
        <v>555</v>
      </c>
      <c r="J18" s="42" t="n">
        <f aca="false">(Capacity!C35*0.25+Capacity!D35*0.25+Capacity!E35*0.25+Capacity!F35*0.25)*Assumptions!$B$49*(1+Assumptions!$B$50)^1+SUM(Capacity!C5:F5)*Assumptions!$B$51</f>
        <v>1.9908</v>
      </c>
      <c r="K18" s="42" t="n">
        <f aca="false">(Capacity!G35*0.25+Capacity!H35*0.25+Capacity!I35*0.25+Capacity!J35*0.25)*Assumptions!$B$49*(1+Assumptions!$B$50)^2+SUM(Capacity!G5:J5)*Assumptions!$B$51</f>
        <v>7.830592</v>
      </c>
      <c r="L18" s="42" t="n">
        <f aca="false">(Capacity!K35*0.25+Capacity!L35*0.25+Capacity!M35*0.25+Capacity!N35*0.25)*Assumptions!$B$49*(1+Assumptions!$B$50)^3+SUM(Capacity!K5:N5)*Assumptions!$B$51</f>
        <v>12.88241024</v>
      </c>
      <c r="M18" s="7" t="s">
        <v>556</v>
      </c>
      <c r="N18" s="1" t="s">
        <v>526</v>
      </c>
    </row>
    <row r="19" customFormat="false" ht="15" hidden="false" customHeight="true" outlineLevel="0" collapsed="false">
      <c r="A19" s="4" t="s">
        <v>557</v>
      </c>
      <c r="I19" s="1" t="s">
        <v>555</v>
      </c>
      <c r="J19" s="42" t="n">
        <f aca="false">Channel!O17</f>
        <v>2.44</v>
      </c>
      <c r="K19" s="42" t="n">
        <f aca="false">Channel!P17</f>
        <v>3.46</v>
      </c>
      <c r="L19" s="42" t="n">
        <f aca="false">Channel!Q17</f>
        <v>4</v>
      </c>
      <c r="M19" s="7" t="s">
        <v>558</v>
      </c>
      <c r="N19" s="1" t="s">
        <v>526</v>
      </c>
    </row>
    <row r="20" customFormat="false" ht="15" hidden="false" customHeight="true" outlineLevel="0" collapsed="false">
      <c r="A20" s="4" t="s">
        <v>559</v>
      </c>
      <c r="J20" s="22" t="n">
        <f aca="false">SUM(J5:J19)</f>
        <v>14.9508</v>
      </c>
      <c r="K20" s="22" t="n">
        <f aca="false">SUM(K5:K19)</f>
        <v>20.350592</v>
      </c>
      <c r="L20" s="22" t="n">
        <f aca="false">SUM(L5:L19)</f>
        <v>26.55241024</v>
      </c>
    </row>
    <row r="21" customFormat="false" ht="15" hidden="false" customHeight="true" outlineLevel="0" collapsed="false">
      <c r="A21" s="8" t="s">
        <v>560</v>
      </c>
      <c r="J21" s="42" t="n">
        <f aca="false">IF(Assumptions!$C$5=3,Assumptions!$B$93,Assumptions!$B$92)</f>
        <v>15</v>
      </c>
    </row>
    <row r="22" customFormat="false" ht="15" hidden="false" customHeight="true" outlineLevel="0" collapsed="false">
      <c r="A22" s="4" t="s">
        <v>561</v>
      </c>
      <c r="J22" s="22" t="n">
        <f aca="false">J21-J20</f>
        <v>0.0492000000000008</v>
      </c>
    </row>
    <row r="23" customFormat="false" ht="15" hidden="false" customHeight="true" outlineLevel="0" collapsed="false">
      <c r="A23" s="8" t="s">
        <v>562</v>
      </c>
      <c r="J23" s="41" t="n">
        <f aca="false">SUMIF($N$5:$N$19,"R&amp;D",J5:J19)</f>
        <v>0.6</v>
      </c>
      <c r="K23" s="41" t="n">
        <f aca="false">SUMIF($N$5:$N$19,"R&amp;D",K5:K19)</f>
        <v>0</v>
      </c>
      <c r="L23" s="41" t="n">
        <f aca="false">SUMIF($N$5:$N$19,"R&amp;D",L5:L19)</f>
        <v>0</v>
      </c>
    </row>
    <row r="24" customFormat="false" ht="15" hidden="false" customHeight="true" outlineLevel="0" collapsed="false">
      <c r="A24" s="8" t="s">
        <v>563</v>
      </c>
      <c r="J24" s="41" t="n">
        <f aca="false">J20-J23-J18</f>
        <v>12.36</v>
      </c>
      <c r="K24" s="41" t="n">
        <f aca="false">K20-K23-K18</f>
        <v>12.52</v>
      </c>
      <c r="L24" s="41" t="n">
        <f aca="false">L20-L23-L18</f>
        <v>13.67</v>
      </c>
    </row>
    <row r="26" customFormat="false" ht="15" hidden="false" customHeight="true" outlineLevel="0" collapsed="false">
      <c r="A26" s="4" t="s">
        <v>564</v>
      </c>
    </row>
    <row r="27" customFormat="false" ht="15" hidden="false" customHeight="true" outlineLevel="0" collapsed="false">
      <c r="A27" s="8" t="s">
        <v>565</v>
      </c>
      <c r="J27" s="41" t="n">
        <f aca="false">J20</f>
        <v>14.9508</v>
      </c>
      <c r="K27" s="41" t="n">
        <f aca="false">J27+K20</f>
        <v>35.301392</v>
      </c>
      <c r="L27" s="41" t="n">
        <f aca="false">K27+L20</f>
        <v>61.85380224</v>
      </c>
    </row>
    <row r="28" customFormat="false" ht="15" hidden="false" customHeight="true" outlineLevel="0" collapsed="false">
      <c r="A28" s="8" t="s">
        <v>566</v>
      </c>
      <c r="J28" s="42" t="n">
        <f aca="false">ARR_bridge!O24</f>
        <v>8.5049257463877</v>
      </c>
      <c r="K28" s="42" t="n">
        <f aca="false">ARR_bridge!P24</f>
        <v>53.8517946176955</v>
      </c>
      <c r="L28" s="42" t="n">
        <f aca="false">ARR_bridge!Q24</f>
        <v>136.671449601553</v>
      </c>
    </row>
    <row r="29" customFormat="false" ht="15" hidden="false" customHeight="true" outlineLevel="0" collapsed="false">
      <c r="A29" s="4" t="s">
        <v>567</v>
      </c>
      <c r="J29" s="18" t="n">
        <f aca="false">IF(J28&lt;=0,"never",J27/(J28*PnL!O15)*12)</f>
        <v>30.754697185598</v>
      </c>
      <c r="K29" s="18" t="n">
        <f aca="false">IF(K28&lt;=0,"never",K27/(K28*PnL!P15)*12)</f>
        <v>11.6470613842704</v>
      </c>
      <c r="L29" s="18" t="n">
        <f aca="false">IF(L28&lt;=0,"never",L27/(L28*PnL!Q15)*12)</f>
        <v>8.01876134310437</v>
      </c>
      <c r="M29" s="7" t="s">
        <v>568</v>
      </c>
    </row>
    <row r="30" customFormat="false" ht="15" hidden="false" customHeight="true" outlineLevel="0" collapsed="false">
      <c r="A30" s="8" t="s">
        <v>569</v>
      </c>
      <c r="J30" s="42" t="n">
        <f aca="false">ARR_bridge!O12-Do_nothing!C14</f>
        <v>3.35492574638772</v>
      </c>
      <c r="K30" s="42" t="n">
        <f aca="false">ARR_bridge!P12-Do_nothing!D14</f>
        <v>37.9121446176956</v>
      </c>
      <c r="L30" s="42" t="n">
        <f aca="false">ARR_bridge!Q12-Do_nothing!E14</f>
        <v>103.994704951553</v>
      </c>
    </row>
    <row r="31" customFormat="false" ht="15" hidden="false" customHeight="true" outlineLevel="0" collapsed="false">
      <c r="A31" s="4" t="s">
        <v>570</v>
      </c>
      <c r="J31" s="18" t="n">
        <f aca="false">IF(J30&lt;=0,"never",J27/(J30*PnL!O15)*12)</f>
        <v>77.9648897439178</v>
      </c>
      <c r="K31" s="18" t="n">
        <f aca="false">IF(K30&lt;=0,"never",K27/(K30*PnL!P15)*12)</f>
        <v>16.543911295186</v>
      </c>
      <c r="L31" s="18" t="n">
        <f aca="false">IF(L30&lt;=0,"never",L27/(L30*PnL!Q15)*12)</f>
        <v>10.5383801731206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5" min="2" style="1" width="11"/>
    <col collapsed="false" customWidth="true" hidden="false" outlineLevel="0" max="6" min="6" style="1" width="60"/>
  </cols>
  <sheetData>
    <row r="1" customFormat="false" ht="15.75" hidden="false" customHeight="true" outlineLevel="0" collapsed="false">
      <c r="A1" s="2" t="s">
        <v>571</v>
      </c>
    </row>
    <row r="2" customFormat="false" ht="15" hidden="false" customHeight="true" outlineLevel="0" collapsed="false">
      <c r="A2" s="5" t="s">
        <v>572</v>
      </c>
    </row>
    <row r="4" customFormat="false" ht="15" hidden="false" customHeight="true" outlineLevel="0" collapsed="false">
      <c r="A4" s="11" t="s">
        <v>380</v>
      </c>
      <c r="B4" s="12" t="s">
        <v>573</v>
      </c>
      <c r="C4" s="12" t="s">
        <v>31</v>
      </c>
      <c r="D4" s="12" t="s">
        <v>32</v>
      </c>
      <c r="E4" s="12" t="s">
        <v>33</v>
      </c>
      <c r="F4" s="12" t="s">
        <v>76</v>
      </c>
    </row>
    <row r="5" customFormat="false" ht="15" hidden="false" customHeight="true" outlineLevel="0" collapsed="false">
      <c r="A5" s="8" t="s">
        <v>574</v>
      </c>
      <c r="B5" s="42" t="n">
        <f aca="false">Assumptions!$B$88</f>
        <v>41</v>
      </c>
      <c r="C5" s="41" t="n">
        <f aca="false">B5*(1+Assumptions!$B$89)</f>
        <v>38.95</v>
      </c>
      <c r="D5" s="41" t="n">
        <f aca="false">C5*(1+Assumptions!$B$89)</f>
        <v>37.0025</v>
      </c>
      <c r="E5" s="41" t="n">
        <f aca="false">D5*(1+Assumptions!$B$89)</f>
        <v>35.152375</v>
      </c>
    </row>
    <row r="6" customFormat="false" ht="15" hidden="false" customHeight="true" outlineLevel="0" collapsed="false">
      <c r="A6" s="8" t="s">
        <v>575</v>
      </c>
      <c r="B6" s="44" t="n">
        <f aca="false">Assumptions!$B$90</f>
        <v>0.989</v>
      </c>
      <c r="C6" s="43" t="n">
        <f aca="false">B6+Assumptions!$B$91</f>
        <v>0.979</v>
      </c>
      <c r="D6" s="43" t="n">
        <f aca="false">C6+Assumptions!$B$91</f>
        <v>0.969</v>
      </c>
      <c r="E6" s="43" t="n">
        <f aca="false">D6+Assumptions!$B$91</f>
        <v>0.959</v>
      </c>
    </row>
    <row r="7" customFormat="false" ht="15" hidden="false" customHeight="true" outlineLevel="0" collapsed="false">
      <c r="A7" s="8" t="s">
        <v>460</v>
      </c>
      <c r="C7" s="54" t="n">
        <f aca="false">B8</f>
        <v>310</v>
      </c>
      <c r="D7" s="54" t="n">
        <f aca="false">C8</f>
        <v>342.44</v>
      </c>
      <c r="E7" s="54" t="n">
        <f aca="false">D8</f>
        <v>368.82686</v>
      </c>
    </row>
    <row r="8" customFormat="false" ht="15" hidden="false" customHeight="true" outlineLevel="0" collapsed="false">
      <c r="A8" s="4" t="s">
        <v>467</v>
      </c>
      <c r="B8" s="56" t="n">
        <v>310</v>
      </c>
      <c r="C8" s="55" t="n">
        <f aca="false">C7*C6+C5</f>
        <v>342.44</v>
      </c>
      <c r="D8" s="55" t="n">
        <f aca="false">D7*D6+D5</f>
        <v>368.82686</v>
      </c>
      <c r="E8" s="55" t="n">
        <f aca="false">E7*E6+E5</f>
        <v>388.85733374</v>
      </c>
      <c r="F8" s="7" t="s">
        <v>576</v>
      </c>
    </row>
    <row r="9" customFormat="false" ht="15" hidden="false" customHeight="true" outlineLevel="0" collapsed="false">
      <c r="A9" s="8" t="s">
        <v>577</v>
      </c>
      <c r="C9" s="43" t="n">
        <f aca="false">C8/C7-1</f>
        <v>0.104645161290323</v>
      </c>
      <c r="D9" s="43" t="n">
        <f aca="false">D8/D7-1</f>
        <v>0.0770554257680178</v>
      </c>
      <c r="E9" s="43" t="n">
        <f aca="false">E8/E7-1</f>
        <v>0.0543086090313487</v>
      </c>
    </row>
    <row r="11" customFormat="false" ht="15" hidden="false" customHeight="true" outlineLevel="0" collapsed="false">
      <c r="A11" s="4" t="s">
        <v>578</v>
      </c>
    </row>
    <row r="12" customFormat="false" ht="15" hidden="false" customHeight="true" outlineLevel="0" collapsed="false">
      <c r="A12" s="8" t="s">
        <v>574</v>
      </c>
      <c r="B12" s="42" t="n">
        <f aca="false">Assumptions!$B$88</f>
        <v>41</v>
      </c>
      <c r="C12" s="41" t="n">
        <f aca="false">B12</f>
        <v>41</v>
      </c>
      <c r="D12" s="41" t="n">
        <f aca="false">C12</f>
        <v>41</v>
      </c>
      <c r="E12" s="41" t="n">
        <f aca="false">D12</f>
        <v>41</v>
      </c>
    </row>
    <row r="13" customFormat="false" ht="15" hidden="false" customHeight="true" outlineLevel="0" collapsed="false">
      <c r="A13" s="8" t="s">
        <v>575</v>
      </c>
      <c r="B13" s="44" t="n">
        <f aca="false">Assumptions!$B$90</f>
        <v>0.989</v>
      </c>
      <c r="C13" s="43" t="n">
        <f aca="false">B13</f>
        <v>0.989</v>
      </c>
      <c r="D13" s="43" t="n">
        <f aca="false">C13</f>
        <v>0.989</v>
      </c>
      <c r="E13" s="43" t="n">
        <f aca="false">D13</f>
        <v>0.989</v>
      </c>
    </row>
    <row r="14" customFormat="false" ht="15" hidden="false" customHeight="true" outlineLevel="0" collapsed="false">
      <c r="A14" s="4" t="s">
        <v>467</v>
      </c>
      <c r="B14" s="56" t="n">
        <v>310</v>
      </c>
      <c r="C14" s="55" t="n">
        <f aca="false">B14*C13+C12</f>
        <v>347.59</v>
      </c>
      <c r="D14" s="55" t="n">
        <f aca="false">C14*D13+D12</f>
        <v>384.76651</v>
      </c>
      <c r="E14" s="55" t="n">
        <f aca="false">D14*E13+E12</f>
        <v>421.53407839</v>
      </c>
      <c r="F14" s="7" t="s">
        <v>579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5" min="2" style="1" width="12"/>
    <col collapsed="false" customWidth="true" hidden="false" outlineLevel="0" max="6" min="6" style="1" width="50"/>
  </cols>
  <sheetData>
    <row r="1" customFormat="false" ht="15.75" hidden="false" customHeight="true" outlineLevel="0" collapsed="false">
      <c r="A1" s="2" t="s">
        <v>580</v>
      </c>
    </row>
    <row r="2" customFormat="false" ht="15" hidden="false" customHeight="true" outlineLevel="0" collapsed="false">
      <c r="A2" s="5" t="s">
        <v>581</v>
      </c>
    </row>
    <row r="4" customFormat="false" ht="15" hidden="false" customHeight="true" outlineLevel="0" collapsed="false">
      <c r="A4" s="8" t="s">
        <v>582</v>
      </c>
      <c r="C4" s="42" t="n">
        <f aca="false">Assumptions!$B$87</f>
        <v>9.5</v>
      </c>
    </row>
    <row r="5" customFormat="false" ht="15" hidden="false" customHeight="true" outlineLevel="0" collapsed="false">
      <c r="A5" s="8" t="s">
        <v>583</v>
      </c>
      <c r="C5" s="43" t="n">
        <f aca="false">C4/310</f>
        <v>0.0306451612903226</v>
      </c>
    </row>
    <row r="6" customFormat="false" ht="15" hidden="false" customHeight="true" outlineLevel="0" collapsed="false">
      <c r="A6" s="8" t="s">
        <v>584</v>
      </c>
      <c r="C6" s="14" t="n">
        <v>0.45</v>
      </c>
      <c r="F6" s="7" t="s">
        <v>585</v>
      </c>
    </row>
    <row r="7" customFormat="false" ht="15" hidden="false" customHeight="true" outlineLevel="0" collapsed="false">
      <c r="A7" s="8" t="s">
        <v>586</v>
      </c>
      <c r="C7" s="13" t="n">
        <v>0.15</v>
      </c>
      <c r="F7" s="7" t="s">
        <v>587</v>
      </c>
    </row>
    <row r="8" customFormat="false" ht="15" hidden="false" customHeight="true" outlineLevel="0" collapsed="false">
      <c r="A8" s="8" t="s">
        <v>588</v>
      </c>
      <c r="C8" s="44" t="n">
        <f aca="false">Assumptions!$O$20</f>
        <v>0.2</v>
      </c>
    </row>
    <row r="9" customFormat="false" ht="15" hidden="false" customHeight="true" outlineLevel="0" collapsed="false">
      <c r="A9" s="8" t="s">
        <v>589</v>
      </c>
      <c r="C9" s="44" t="n">
        <f aca="false">Assumptions!$O$22</f>
        <v>0.08</v>
      </c>
    </row>
    <row r="10" customFormat="false" ht="15" hidden="false" customHeight="true" outlineLevel="0" collapsed="false">
      <c r="A10" s="8" t="s">
        <v>590</v>
      </c>
      <c r="C10" s="42" t="n">
        <f aca="false">Investment!J14</f>
        <v>0.9</v>
      </c>
    </row>
    <row r="12" customFormat="false" ht="15" hidden="false" customHeight="true" outlineLevel="0" collapsed="false">
      <c r="A12" s="8" t="s">
        <v>591</v>
      </c>
      <c r="C12" s="22" t="n">
        <f aca="false">C4*C6+C4*(1-C6)*C7</f>
        <v>5.05875</v>
      </c>
    </row>
    <row r="13" customFormat="false" ht="15" hidden="false" customHeight="true" outlineLevel="0" collapsed="false">
      <c r="A13" s="8" t="s">
        <v>592</v>
      </c>
      <c r="C13" s="22" t="n">
        <f aca="false">C4*C8+C4*(1-C8)*C9</f>
        <v>2.508</v>
      </c>
    </row>
    <row r="14" customFormat="false" ht="15" hidden="false" customHeight="true" outlineLevel="0" collapsed="false">
      <c r="A14" s="4" t="s">
        <v>593</v>
      </c>
      <c r="C14" s="22" t="n">
        <f aca="false">C13</f>
        <v>2.508</v>
      </c>
    </row>
    <row r="15" customFormat="false" ht="15" hidden="false" customHeight="true" outlineLevel="0" collapsed="false">
      <c r="A15" s="8" t="s">
        <v>594</v>
      </c>
      <c r="C15" s="22" t="n">
        <f aca="false">C12-C13</f>
        <v>2.55075</v>
      </c>
    </row>
    <row r="16" customFormat="false" ht="15" hidden="false" customHeight="true" outlineLevel="0" collapsed="false">
      <c r="A16" s="8" t="s">
        <v>595</v>
      </c>
      <c r="C16" s="18" t="n">
        <f aca="false">C10/(C15*PnL!O15)*12</f>
        <v>6.17294153618104</v>
      </c>
    </row>
    <row r="18" customFormat="false" ht="23.25" hidden="false" customHeight="true" outlineLevel="0" collapsed="false">
      <c r="A18" s="11" t="s">
        <v>596</v>
      </c>
      <c r="B18" s="12" t="s">
        <v>597</v>
      </c>
      <c r="C18" s="12" t="s">
        <v>598</v>
      </c>
      <c r="D18" s="12" t="s">
        <v>599</v>
      </c>
      <c r="E18" s="12" t="s">
        <v>600</v>
      </c>
      <c r="F18" s="12" t="s">
        <v>200</v>
      </c>
    </row>
    <row r="19" customFormat="false" ht="15" hidden="false" customHeight="true" outlineLevel="0" collapsed="false">
      <c r="A19" s="8" t="s">
        <v>601</v>
      </c>
      <c r="B19" s="41" t="n">
        <f aca="false">C13</f>
        <v>2.508</v>
      </c>
      <c r="C19" s="54" t="n">
        <f aca="false">ARR_bridge!O12+ARR_bridge!O11-B19</f>
        <v>350.944925746388</v>
      </c>
      <c r="D19" s="43" t="n">
        <f aca="false">ARR_bridge!O21+(ARR_bridge!O11-B19)/ARR_bridge!O5</f>
        <v>0.991059674805178</v>
      </c>
      <c r="E19" s="43" t="n">
        <f aca="false">C19/ARR_bridge!O5-1</f>
        <v>0.132080405633509</v>
      </c>
    </row>
    <row r="20" customFormat="false" ht="15" hidden="false" customHeight="true" outlineLevel="0" collapsed="false">
      <c r="A20" s="8" t="s">
        <v>602</v>
      </c>
      <c r="B20" s="41" t="n">
        <f aca="false">C4*C9</f>
        <v>0.76</v>
      </c>
      <c r="C20" s="54" t="n">
        <f aca="false">ARR_bridge!O12+ARR_bridge!O11-B20</f>
        <v>352.692925746388</v>
      </c>
      <c r="D20" s="43" t="n">
        <f aca="false">ARR_bridge!O21+(ARR_bridge!O11-B20)/ARR_bridge!O5</f>
        <v>0.996698384482597</v>
      </c>
      <c r="E20" s="43" t="n">
        <f aca="false">C20/ARR_bridge!O5-1</f>
        <v>0.137719115310928</v>
      </c>
    </row>
    <row r="21" customFormat="false" ht="15" hidden="false" customHeight="true" outlineLevel="0" collapsed="false">
      <c r="A21" s="8" t="s">
        <v>603</v>
      </c>
      <c r="B21" s="41" t="n">
        <f aca="false">C4</f>
        <v>9.5</v>
      </c>
      <c r="C21" s="54" t="n">
        <f aca="false">ARR_bridge!O12+ARR_bridge!O11-B21</f>
        <v>343.952925746388</v>
      </c>
      <c r="D21" s="43" t="n">
        <f aca="false">ARR_bridge!O21+(ARR_bridge!O11-B21)/ARR_bridge!O5</f>
        <v>0.9685048360955</v>
      </c>
      <c r="E21" s="43" t="n">
        <f aca="false">C21/ARR_bridge!O5-1</f>
        <v>0.109525566923831</v>
      </c>
      <c r="F21" s="7" t="s">
        <v>604</v>
      </c>
    </row>
    <row r="22" customFormat="false" ht="15" hidden="false" customHeight="true" outlineLevel="0" collapsed="false">
      <c r="A22" s="8" t="s">
        <v>605</v>
      </c>
      <c r="B22" s="41" t="n">
        <f aca="false">C12</f>
        <v>5.05875</v>
      </c>
      <c r="C22" s="54" t="n">
        <f aca="false">ARR_bridge!O12+ARR_bridge!O11-B22</f>
        <v>348.394175746388</v>
      </c>
      <c r="D22" s="43" t="n">
        <f aca="false">ARR_bridge!O21+(ARR_bridge!O11-B22)/ARR_bridge!O5</f>
        <v>0.982831448998726</v>
      </c>
      <c r="E22" s="43" t="n">
        <f aca="false">C22/ARR_bridge!O5-1</f>
        <v>0.123852179827057</v>
      </c>
    </row>
    <row r="24" customFormat="false" ht="15" hidden="false" customHeight="true" outlineLevel="0" collapsed="false">
      <c r="A24" s="4" t="s">
        <v>606</v>
      </c>
    </row>
    <row r="25" customFormat="false" ht="15" hidden="false" customHeight="true" outlineLevel="0" collapsed="false">
      <c r="A25" s="8" t="s">
        <v>607</v>
      </c>
      <c r="C25" s="41" t="n">
        <f aca="false">ARR_bridge!F12-ARR_bridge!F5</f>
        <v>10.2187527162876</v>
      </c>
    </row>
    <row r="26" customFormat="false" ht="15" hidden="false" customHeight="true" outlineLevel="0" collapsed="false">
      <c r="A26" s="8" t="s">
        <v>608</v>
      </c>
      <c r="C26" s="41" t="n">
        <f aca="false">C25+C14-C4</f>
        <v>3.22675271628761</v>
      </c>
    </row>
    <row r="27" customFormat="false" ht="15" hidden="false" customHeight="true" outlineLevel="0" collapsed="false">
      <c r="A27" s="8" t="s">
        <v>609</v>
      </c>
      <c r="C27" s="41" t="n">
        <f aca="false">C25+C14-C4*C9</f>
        <v>11.9667527162876</v>
      </c>
    </row>
    <row r="29" customFormat="false" ht="15" hidden="false" customHeight="true" outlineLevel="0" collapsed="false">
      <c r="A29" s="4" t="s">
        <v>610</v>
      </c>
    </row>
    <row r="30" customFormat="false" ht="27.75" hidden="false" customHeight="true" outlineLevel="0" collapsed="false">
      <c r="A30" s="61" t="s">
        <v>611</v>
      </c>
      <c r="B30" s="61"/>
      <c r="C30" s="61"/>
      <c r="D30" s="61"/>
      <c r="E30" s="61"/>
      <c r="F30" s="61"/>
    </row>
    <row r="31" customFormat="false" ht="27.75" hidden="false" customHeight="true" outlineLevel="0" collapsed="false">
      <c r="A31" s="61" t="s">
        <v>612</v>
      </c>
      <c r="B31" s="61"/>
      <c r="C31" s="61"/>
      <c r="D31" s="61"/>
      <c r="E31" s="61"/>
      <c r="F31" s="61"/>
    </row>
    <row r="32" customFormat="false" ht="27.75" hidden="false" customHeight="true" outlineLevel="0" collapsed="false">
      <c r="A32" s="61" t="s">
        <v>613</v>
      </c>
      <c r="B32" s="61"/>
      <c r="C32" s="61"/>
      <c r="D32" s="61"/>
      <c r="E32" s="61"/>
      <c r="F32" s="61"/>
    </row>
    <row r="33" customFormat="false" ht="27.75" hidden="false" customHeight="true" outlineLevel="0" collapsed="false">
      <c r="A33" s="61" t="s">
        <v>614</v>
      </c>
      <c r="B33" s="61"/>
      <c r="C33" s="61"/>
      <c r="D33" s="61"/>
      <c r="E33" s="61"/>
      <c r="F33" s="61"/>
    </row>
    <row r="34" customFormat="false" ht="27.75" hidden="false" customHeight="true" outlineLevel="0" collapsed="false">
      <c r="A34" s="61" t="s">
        <v>615</v>
      </c>
      <c r="B34" s="61"/>
      <c r="C34" s="61"/>
      <c r="D34" s="61"/>
      <c r="E34" s="61"/>
      <c r="F34" s="61"/>
    </row>
    <row r="35" customFormat="false" ht="27.75" hidden="false" customHeight="true" outlineLevel="0" collapsed="false">
      <c r="A35" s="61" t="s">
        <v>616</v>
      </c>
      <c r="B35" s="61"/>
      <c r="C35" s="61"/>
      <c r="D35" s="61"/>
      <c r="E35" s="61"/>
      <c r="F35" s="61"/>
    </row>
  </sheetData>
  <mergeCells count="6">
    <mergeCell ref="A30:F30"/>
    <mergeCell ref="A31:F31"/>
    <mergeCell ref="A32:F32"/>
    <mergeCell ref="A33:F33"/>
    <mergeCell ref="A34:F34"/>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44"/>
    <col collapsed="false" customWidth="true" hidden="false" outlineLevel="0" max="4" min="4" style="0" width="20"/>
  </cols>
  <sheetData>
    <row r="1" customFormat="false" ht="16.15" hidden="false" customHeight="false" outlineLevel="0" collapsed="false">
      <c r="A1" s="28" t="s">
        <v>617</v>
      </c>
    </row>
    <row r="3" customFormat="false" ht="15" hidden="false" customHeight="false" outlineLevel="0" collapsed="false">
      <c r="A3" s="30" t="s">
        <v>618</v>
      </c>
      <c r="B3" s="30" t="s">
        <v>619</v>
      </c>
      <c r="C3" s="30" t="s">
        <v>620</v>
      </c>
      <c r="D3" s="30" t="s">
        <v>621</v>
      </c>
    </row>
    <row r="4" customFormat="false" ht="23.85" hidden="false" customHeight="false" outlineLevel="0" collapsed="false">
      <c r="A4" s="3" t="s">
        <v>622</v>
      </c>
      <c r="B4" s="3" t="s">
        <v>623</v>
      </c>
      <c r="C4" s="3" t="s">
        <v>624</v>
      </c>
      <c r="D4" s="3" t="s">
        <v>166</v>
      </c>
    </row>
    <row r="5" customFormat="false" ht="23.85" hidden="false" customHeight="false" outlineLevel="0" collapsed="false">
      <c r="A5" s="3" t="s">
        <v>625</v>
      </c>
      <c r="B5" s="3" t="s">
        <v>626</v>
      </c>
      <c r="C5" s="3" t="s">
        <v>627</v>
      </c>
      <c r="D5" s="3" t="s">
        <v>166</v>
      </c>
    </row>
    <row r="6" customFormat="false" ht="35.05" hidden="false" customHeight="false" outlineLevel="0" collapsed="false">
      <c r="A6" s="3" t="s">
        <v>628</v>
      </c>
      <c r="B6" s="3" t="s">
        <v>629</v>
      </c>
      <c r="C6" s="3" t="s">
        <v>630</v>
      </c>
      <c r="D6" s="3" t="s">
        <v>631</v>
      </c>
    </row>
    <row r="7" customFormat="false" ht="23.85" hidden="false" customHeight="false" outlineLevel="0" collapsed="false">
      <c r="A7" s="3" t="s">
        <v>632</v>
      </c>
      <c r="B7" s="3" t="s">
        <v>633</v>
      </c>
      <c r="C7" s="3" t="s">
        <v>634</v>
      </c>
      <c r="D7" s="3" t="s">
        <v>635</v>
      </c>
    </row>
    <row r="8" customFormat="false" ht="23.85" hidden="false" customHeight="false" outlineLevel="0" collapsed="false">
      <c r="A8" s="3" t="s">
        <v>636</v>
      </c>
      <c r="B8" s="3" t="s">
        <v>637</v>
      </c>
      <c r="C8" s="3" t="s">
        <v>638</v>
      </c>
      <c r="D8" s="3" t="s">
        <v>639</v>
      </c>
    </row>
    <row r="9" customFormat="false" ht="23.85" hidden="false" customHeight="false" outlineLevel="0" collapsed="false">
      <c r="A9" s="3" t="s">
        <v>640</v>
      </c>
      <c r="B9" s="3" t="s">
        <v>641</v>
      </c>
      <c r="C9" s="3" t="s">
        <v>642</v>
      </c>
      <c r="D9" s="3" t="s">
        <v>643</v>
      </c>
    </row>
    <row r="10" customFormat="false" ht="23.85" hidden="false" customHeight="false" outlineLevel="0" collapsed="false">
      <c r="A10" s="3" t="s">
        <v>644</v>
      </c>
      <c r="B10" s="3" t="s">
        <v>645</v>
      </c>
      <c r="C10" s="3" t="s">
        <v>646</v>
      </c>
      <c r="D10" s="3" t="s">
        <v>647</v>
      </c>
    </row>
    <row r="11" customFormat="false" ht="23.85" hidden="false" customHeight="false" outlineLevel="0" collapsed="false">
      <c r="A11" s="3" t="s">
        <v>648</v>
      </c>
      <c r="B11" s="3" t="s">
        <v>649</v>
      </c>
      <c r="C11" s="3" t="s">
        <v>650</v>
      </c>
      <c r="D11" s="3" t="s">
        <v>651</v>
      </c>
    </row>
    <row r="12" customFormat="false" ht="23.85" hidden="false" customHeight="false" outlineLevel="0" collapsed="false">
      <c r="A12" s="3" t="s">
        <v>652</v>
      </c>
      <c r="B12" s="3" t="s">
        <v>653</v>
      </c>
      <c r="C12" s="3" t="s">
        <v>654</v>
      </c>
      <c r="D12" s="3" t="s">
        <v>166</v>
      </c>
    </row>
    <row r="13" customFormat="false" ht="15" hidden="false" customHeight="false" outlineLevel="0" collapsed="false">
      <c r="A13" s="3" t="s">
        <v>655</v>
      </c>
      <c r="B13" s="3" t="s">
        <v>656</v>
      </c>
      <c r="C13" s="3" t="s">
        <v>657</v>
      </c>
      <c r="D13" s="3" t="s">
        <v>658</v>
      </c>
    </row>
    <row r="14" customFormat="false" ht="15" hidden="false" customHeight="false" outlineLevel="0" collapsed="false">
      <c r="A14" s="3" t="s">
        <v>383</v>
      </c>
      <c r="B14" s="3" t="s">
        <v>659</v>
      </c>
      <c r="C14" s="3" t="s">
        <v>660</v>
      </c>
      <c r="D14" s="3" t="s">
        <v>661</v>
      </c>
    </row>
    <row r="15" customFormat="false" ht="15" hidden="false" customHeight="false" outlineLevel="0" collapsed="false">
      <c r="A15" s="3" t="s">
        <v>662</v>
      </c>
      <c r="B15" s="3" t="s">
        <v>663</v>
      </c>
      <c r="C15" s="3" t="s">
        <v>664</v>
      </c>
      <c r="D15" s="3" t="s">
        <v>665</v>
      </c>
    </row>
    <row r="16" customFormat="false" ht="15" hidden="false" customHeight="false" outlineLevel="0" collapsed="false">
      <c r="A16" s="3" t="s">
        <v>666</v>
      </c>
      <c r="B16" s="3" t="s">
        <v>667</v>
      </c>
      <c r="C16" s="3" t="s">
        <v>668</v>
      </c>
      <c r="D16" s="3" t="s">
        <v>127</v>
      </c>
    </row>
    <row r="17" customFormat="false" ht="15" hidden="false" customHeight="false" outlineLevel="0" collapsed="false">
      <c r="A17" s="3" t="s">
        <v>669</v>
      </c>
      <c r="B17" s="3" t="s">
        <v>670</v>
      </c>
      <c r="C17" s="3" t="s">
        <v>671</v>
      </c>
      <c r="D17" s="3" t="s">
        <v>672</v>
      </c>
    </row>
    <row r="18" customFormat="false" ht="23.85" hidden="false" customHeight="false" outlineLevel="0" collapsed="false">
      <c r="A18" s="3" t="s">
        <v>673</v>
      </c>
      <c r="B18" s="3" t="s">
        <v>674</v>
      </c>
      <c r="C18" s="3" t="s">
        <v>675</v>
      </c>
      <c r="D18" s="3" t="s">
        <v>127</v>
      </c>
    </row>
    <row r="19" customFormat="false" ht="23.85" hidden="false" customHeight="false" outlineLevel="0" collapsed="false">
      <c r="A19" s="3" t="s">
        <v>676</v>
      </c>
      <c r="B19" s="3" t="s">
        <v>677</v>
      </c>
      <c r="C19" s="3" t="s">
        <v>678</v>
      </c>
      <c r="D19" s="3" t="s">
        <v>658</v>
      </c>
    </row>
    <row r="20" customFormat="false" ht="15" hidden="false" customHeight="false" outlineLevel="0" collapsed="false">
      <c r="A20" s="3" t="s">
        <v>679</v>
      </c>
      <c r="B20" s="3" t="s">
        <v>680</v>
      </c>
      <c r="C20" s="3" t="s">
        <v>681</v>
      </c>
      <c r="D20" s="3" t="s">
        <v>682</v>
      </c>
    </row>
    <row r="21" customFormat="false" ht="23.85" hidden="false" customHeight="false" outlineLevel="0" collapsed="false">
      <c r="A21" s="3" t="s">
        <v>683</v>
      </c>
      <c r="B21" s="3" t="s">
        <v>684</v>
      </c>
      <c r="C21" s="3" t="s">
        <v>685</v>
      </c>
      <c r="D21" s="3" t="s">
        <v>686</v>
      </c>
    </row>
    <row r="22" customFormat="false" ht="15" hidden="false" customHeight="false" outlineLevel="0" collapsed="false">
      <c r="A22" s="3" t="s">
        <v>687</v>
      </c>
      <c r="B22" s="3" t="s">
        <v>688</v>
      </c>
      <c r="C22" s="3" t="s">
        <v>689</v>
      </c>
      <c r="D22" s="3" t="s">
        <v>118</v>
      </c>
    </row>
    <row r="23" customFormat="false" ht="23.85" hidden="false" customHeight="false" outlineLevel="0" collapsed="false">
      <c r="A23" s="3" t="s">
        <v>690</v>
      </c>
      <c r="B23" s="3" t="s">
        <v>691</v>
      </c>
      <c r="C23" s="3" t="s">
        <v>692</v>
      </c>
      <c r="D23" s="3" t="s">
        <v>118</v>
      </c>
    </row>
    <row r="24" customFormat="false" ht="23.85" hidden="false" customHeight="false" outlineLevel="0" collapsed="false">
      <c r="A24" s="3" t="s">
        <v>693</v>
      </c>
      <c r="B24" s="3" t="s">
        <v>694</v>
      </c>
      <c r="C24" s="3" t="s">
        <v>695</v>
      </c>
      <c r="D24" s="3" t="s">
        <v>551</v>
      </c>
    </row>
    <row r="25" customFormat="false" ht="15" hidden="false" customHeight="false" outlineLevel="0" collapsed="false">
      <c r="A25" s="3" t="s">
        <v>696</v>
      </c>
      <c r="B25" s="3" t="s">
        <v>697</v>
      </c>
      <c r="C25" s="3" t="s">
        <v>698</v>
      </c>
      <c r="D25" s="3" t="s">
        <v>699</v>
      </c>
    </row>
    <row r="26" customFormat="false" ht="23.85" hidden="false" customHeight="false" outlineLevel="0" collapsed="false">
      <c r="A26" s="3" t="s">
        <v>700</v>
      </c>
      <c r="B26" s="3" t="s">
        <v>701</v>
      </c>
      <c r="C26" s="3" t="s">
        <v>702</v>
      </c>
      <c r="D26" s="3" t="s">
        <v>166</v>
      </c>
    </row>
    <row r="27" customFormat="false" ht="23.85" hidden="false" customHeight="false" outlineLevel="0" collapsed="false">
      <c r="A27" s="3" t="s">
        <v>703</v>
      </c>
      <c r="B27" s="3" t="s">
        <v>704</v>
      </c>
      <c r="C27" s="3" t="s">
        <v>705</v>
      </c>
      <c r="D27" s="3" t="s">
        <v>706</v>
      </c>
    </row>
    <row r="28" customFormat="false" ht="23.85" hidden="false" customHeight="false" outlineLevel="0" collapsed="false">
      <c r="A28" s="3" t="s">
        <v>707</v>
      </c>
      <c r="B28" s="3" t="s">
        <v>708</v>
      </c>
      <c r="C28" s="3" t="s">
        <v>709</v>
      </c>
      <c r="D28" s="3" t="s">
        <v>118</v>
      </c>
    </row>
    <row r="29" customFormat="false" ht="23.85" hidden="false" customHeight="false" outlineLevel="0" collapsed="false">
      <c r="A29" s="3" t="s">
        <v>710</v>
      </c>
      <c r="B29" s="3" t="s">
        <v>711</v>
      </c>
      <c r="C29" s="3" t="s">
        <v>712</v>
      </c>
      <c r="D29" s="3" t="s">
        <v>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2026-09-23T16:32:44Z</dcterms:created>
  <dc:creator>openpyxl</dc:creator>
  <dc:description/>
  <dc:language>en-US</dc:language>
  <cp:lastModifiedBy/>
  <dcterms:modified xsi:type="dcterms:W3CDTF">2026-09-23T16:37:30Z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
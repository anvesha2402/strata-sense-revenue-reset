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elop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<sst xmlns="http://schemas.openxmlformats.org/spreadsheetml/2006/main" count="49" uniqueCount="49">
  <si>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Inject 1: FY27 investment envelope, re-prioritised to Rs 15 cr</t>
  </si>
  <si>
    <t xml:space="preserve">Blue = input. Payback (margin-adjusted, months) = cost ÷ (annual ARR gain × contribution margin) × 12. Contribution margin = blended GM, less partner margin on partner ARR.</t>
  </si>
  <si>
    <t xml:space="preserve">Blended gross margin</t>
  </si>
  <si>
    <t xml:space="preserve">Partner margin</t>
  </si>
  <si>
    <t xml:space="preserve">Payback cap (months)</t>
  </si>
  <si>
    <t xml:space="preserve">Initiative</t>
  </si>
  <si>
    <t xml:space="preserve">Original Rs 18 cr draft</t>
  </si>
  <si>
    <t xml:space="preserve">Rs 15 cr plan</t>
  </si>
  <si>
    <t xml:space="preserve">Change</t>
  </si>
  <si>
    <t xml:space="preserve">Partner ARR? (1=yes)</t>
  </si>
  <si>
    <t xml:space="preserve">FY27 ARR gain (Rs cr)</t>
  </si>
  <si>
    <t xml:space="preserve">Run-rate ARR gain (Rs cr)</t>
  </si>
  <si>
    <t xml:space="preserve">Payback on run-rate (months)</t>
  </si>
  <si>
    <t xml:space="preserve">Meets cap?</t>
  </si>
  <si>
    <t xml:space="preserve">Evidence / basis (D1, D2)</t>
  </si>
  <si>
    <t xml:space="preserve">Run-rate annual cost (Rs cr)</t>
  </si>
  <si>
    <t xml:space="preserve">Retention squad: 4 CSMs + adoption programme (low-usage &amp; Helix-incumbent renewals)</t>
  </si>
  <si>
    <t xml:space="preserve">Low-usage customers NRR 79%; Helix-incumbent NRR 92%; ₹25.6 cr Helix base erosion (D1). Target: save 12% of FY26 churn+contraction (₹25 cr).</t>
  </si>
  <si>
    <t xml:space="preserve">Top-30 expansion programme (expansion incentives + 1 solutions architect)</t>
  </si>
  <si>
    <t xml:space="preserve">Top-30 expansion fell ₹21.3 → ₹9.5 cr; Lotus Motors plan alone +₹3.2 cr (D2).</t>
  </si>
  <si>
    <t xml:space="preserve">AE retention pool for tenured AEs</t>
  </si>
  <si>
    <t xml:space="preserve">AE attrition 29%; tenured AE books ₹0.89 cr/yr vs ~₹0.15 cr for a first-year replacement (D1). Target: 4 fewer exits.</t>
  </si>
  <si>
    <t xml:space="preserve">SEA channel foundation: VP Channel, 2 partner managers, enablement, PRM/deal registration</t>
  </si>
  <si>
    <t xml:space="preserve">SEA partner deals win 34% vs 10% direct (D1). 3 of the 6 permitted channel roles.</t>
  </si>
  <si>
    <t xml:space="preserve">Partner incentives: +5 pts margin on registered deals, SPIFFs</t>
  </si>
  <si>
    <t xml:space="preserve">No deal registration today; partner share fell 12% → 6%.</t>
  </si>
  <si>
    <t xml:space="preserve">Value-selling enablement: business-case training, value calculator, 1 value engineer</t>
  </si>
  <si>
    <t xml:space="preserve">Proposals with a quantified business case win 41% vs 32% (D1).</t>
  </si>
  <si>
    <t xml:space="preserve">Solutions engineers for paid pilots</t>
  </si>
  <si>
    <t xml:space="preserve">Trimmed from 3 to 2 SEs.</t>
  </si>
  <si>
    <t xml:space="preserve">RevOps analysts (2) + forecasting tool</t>
  </si>
  <si>
    <t xml:space="preserve">Enabler: commit miss 24%, Commit conversion 27% (D1). No direct ARR claimed.</t>
  </si>
  <si>
    <t xml:space="preserve">Sensor-agnostic tier: launch readiness (Q4 FY27 at the earliest)</t>
  </si>
  <si>
    <t xml:space="preserve">44% of TrueSense losses cite existing-sensor reuse (D1). Launch cost only; product build sits with R&amp;D.</t>
  </si>
  <si>
    <t xml:space="preserve">Helix-incumbent renewal protection (exec sponsor programme, MES integration pack)</t>
  </si>
  <si>
    <t xml:space="preserve">₹108.6 cr of ARR sits with Helix-incumbent customers (D1).</t>
  </si>
  <si>
    <t xml:space="preserve">AE hiring</t>
  </si>
  <si>
    <t xml:space="preserve">Draft: 12 AEs from H1 (₹6 cr, +₹1.1 cr FY27). Plan: 6 AEs from Q3 (₹1.5 cr FY27); ramp means FY28 payoff (D2).</t>
  </si>
  <si>
    <t xml:space="preserve">Gated reserve (released at Q2 FY27 review against triggers)</t>
  </si>
  <si>
    <t xml:space="preserve">Release only if early-warning triggers are met (e.g. strategic pipeline ≥ plan, retention squad saves ≥ ₹1 cr by Q2).</t>
  </si>
  <si>
    <t xml:space="preserve">Total</t>
  </si>
  <si>
    <t xml:space="preserve">Check: Rs 15 cr plan within cap</t>
  </si>
  <si>
    <t xml:space="preserve">Blended payback of run-rate spend with an ARR claim (months)</t>
  </si>
  <si>
    <t xml:space="preserve">OPTION (not requested now): extra Rs 3 cr</t>
  </si>
  <si>
    <t xml:space="preserve">Second retention squad for Helix-incumbent renewals (4 CSMs + renewal protection), cost Rs cr</t>
  </si>
  <si>
    <t xml:space="preserve">ARR protected (Rs cr)</t>
  </si>
  <si>
    <t xml:space="preserve">Payback (months)</t>
  </si>
  <si>
    <t xml:space="preserve">Six more AEs in Q4 FY27 (FY27 cost) / FY28 ARR / payback on FY28 run-rate</t>
  </si>
  <si>
    <t xml:space="preserve">Reading: the first package clears 15 months; the second does not in FY27. We hold both for the Q2 review (and Inject 4 evidence) rather than ask now.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</si>
</sst>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0"/>
    <numFmt numFmtId="167" formatCode="0.00;\(0.00\);\-"/>
    <numFmt numFmtId="168" formatCode="0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1"/>
    <col collapsed="false" customWidth="true" hidden="false" outlineLevel="0" max="5" min="5" style="0" width="12"/>
    <col collapsed="false" customWidth="true" hidden="false" outlineLevel="0" max="8" min="6" style="0" width="13"/>
    <col collapsed="false" customWidth="true" hidden="false" outlineLevel="0" max="9" min="9" style="0" width="12"/>
    <col collapsed="false" customWidth="true" hidden="false" outlineLevel="0" max="10" min="10" style="0" width="58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  <c r="B3" s="3" t="n">
        <v>0.68</v>
      </c>
      <c r="C3" s="4" t="s">
        <v>3</v>
      </c>
      <c r="D3" s="3" t="n">
        <v>0.15</v>
      </c>
      <c r="E3" s="4" t="s">
        <v>4</v>
      </c>
      <c r="F3" s="5" t="n">
        <v>15</v>
      </c>
    </row>
    <row r="5" customFormat="false" ht="35.05" hidden="false" customHeight="false" outlineLevel="0" collapsed="false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  <c r="K5" s="6" t="s">
        <v>15</v>
      </c>
    </row>
    <row r="6" customFormat="false" ht="23.85" hidden="false" customHeight="false" outlineLevel="0" collapsed="false">
      <c r="A6" s="7" t="s">
        <v>16</v>
      </c>
      <c r="B6" s="8" t="n">
        <v>1.52</v>
      </c>
      <c r="C6" s="8" t="n">
        <v>1.52</v>
      </c>
      <c r="D6" s="9" t="n">
        <f aca="false">C6-B6</f>
        <v>0</v>
      </c>
      <c r="E6" s="10" t="n">
        <v>0</v>
      </c>
      <c r="F6" s="8" t="n">
        <v>3</v>
      </c>
      <c r="G6" s="8" t="n">
        <v>3</v>
      </c>
      <c r="H6" s="11" t="n">
        <f aca="false">IF(G6&gt;0,K6/(G6*($B$3-E6*$D$3))*12,"n/a")</f>
        <v>8.94117647058824</v>
      </c>
      <c r="I6" s="12" t="str">
        <f aca="false">IF(G6&gt;0,IF(H6&lt;=$F$3,"Yes","No"),"Enabler")</f>
        <v>Yes</v>
      </c>
      <c r="J6" s="13" t="s">
        <v>17</v>
      </c>
      <c r="K6" s="14" t="n">
        <f aca="false">C6</f>
        <v>1.52</v>
      </c>
    </row>
    <row r="7" customFormat="false" ht="23.85" hidden="false" customHeight="false" outlineLevel="0" collapsed="false">
      <c r="A7" s="7" t="s">
        <v>18</v>
      </c>
      <c r="B7" s="8" t="n">
        <v>0.82</v>
      </c>
      <c r="C7" s="8" t="n">
        <v>0.82</v>
      </c>
      <c r="D7" s="9" t="n">
        <f aca="false">C7-B7</f>
        <v>0</v>
      </c>
      <c r="E7" s="10" t="n">
        <v>0</v>
      </c>
      <c r="F7" s="8" t="n">
        <v>2.5</v>
      </c>
      <c r="G7" s="8" t="n">
        <v>2.5</v>
      </c>
      <c r="H7" s="11" t="n">
        <f aca="false">IF(G7&gt;0,K7/(G7*($B$3-E7*$D$3))*12,"n/a")</f>
        <v>5.78823529411765</v>
      </c>
      <c r="I7" s="12" t="str">
        <f aca="false">IF(G7&gt;0,IF(H7&lt;=$F$3,"Yes","No"),"Enabler")</f>
        <v>Yes</v>
      </c>
      <c r="J7" s="13" t="s">
        <v>19</v>
      </c>
      <c r="K7" s="14" t="n">
        <f aca="false">C7</f>
        <v>0.82</v>
      </c>
    </row>
    <row r="8" customFormat="false" ht="22.35" hidden="false" customHeight="false" outlineLevel="0" collapsed="false">
      <c r="A8" s="7" t="s">
        <v>20</v>
      </c>
      <c r="B8" s="8" t="n">
        <v>1</v>
      </c>
      <c r="C8" s="8" t="n">
        <v>1</v>
      </c>
      <c r="D8" s="9" t="n">
        <f aca="false">C8-B8</f>
        <v>0</v>
      </c>
      <c r="E8" s="10" t="n">
        <v>0</v>
      </c>
      <c r="F8" s="8" t="n">
        <v>1.5</v>
      </c>
      <c r="G8" s="8" t="n">
        <v>1.5</v>
      </c>
      <c r="H8" s="11" t="n">
        <f aca="false">IF(G8&gt;0,K8/(G8*($B$3-E8*$D$3))*12,"n/a")</f>
        <v>11.7647058823529</v>
      </c>
      <c r="I8" s="12" t="str">
        <f aca="false">IF(G8&gt;0,IF(H8&lt;=$F$3,"Yes","No"),"Enabler")</f>
        <v>Yes</v>
      </c>
      <c r="J8" s="13" t="s">
        <v>21</v>
      </c>
      <c r="K8" s="14" t="n">
        <f aca="false">C8</f>
        <v>1</v>
      </c>
    </row>
    <row r="9" customFormat="false" ht="23.85" hidden="false" customHeight="false" outlineLevel="0" collapsed="false">
      <c r="A9" s="7" t="s">
        <v>22</v>
      </c>
      <c r="B9" s="8" t="n">
        <v>2.44</v>
      </c>
      <c r="C9" s="8" t="n">
        <v>2.44</v>
      </c>
      <c r="D9" s="9" t="n">
        <f aca="false">C9-B9</f>
        <v>0</v>
      </c>
      <c r="E9" s="10" t="n">
        <v>1</v>
      </c>
      <c r="F9" s="8" t="n">
        <v>1.4</v>
      </c>
      <c r="G9" s="8" t="n">
        <v>3.5</v>
      </c>
      <c r="H9" s="11" t="n">
        <f aca="false">IF(G9&gt;0,K9/(G9*($B$3-E9*$D$3))*12,"n/a")</f>
        <v>15.7843665768194</v>
      </c>
      <c r="I9" s="12" t="str">
        <f aca="false">IF(G9&gt;0,IF(H9&lt;=$F$3,"Yes","No"),"Enabler")</f>
        <v>No</v>
      </c>
      <c r="J9" s="13" t="s">
        <v>23</v>
      </c>
      <c r="K9" s="14" t="n">
        <f aca="false">C9</f>
        <v>2.44</v>
      </c>
    </row>
    <row r="10" customFormat="false" ht="23.85" hidden="false" customHeight="false" outlineLevel="0" collapsed="false">
      <c r="A10" s="7" t="s">
        <v>24</v>
      </c>
      <c r="B10" s="8" t="n">
        <v>0.4</v>
      </c>
      <c r="C10" s="8" t="n">
        <v>0.4</v>
      </c>
      <c r="D10" s="9" t="n">
        <f aca="false">C10-B10</f>
        <v>0</v>
      </c>
      <c r="E10" s="10" t="n">
        <v>1</v>
      </c>
      <c r="F10" s="8" t="n">
        <v>0.3</v>
      </c>
      <c r="G10" s="8" t="n">
        <v>0.6</v>
      </c>
      <c r="H10" s="11" t="n">
        <f aca="false">IF(G10&gt;0,K10/(G10*($B$3-E10*$D$3))*12,"n/a")</f>
        <v>15.0943396226415</v>
      </c>
      <c r="I10" s="12" t="str">
        <f aca="false">IF(G10&gt;0,IF(H10&lt;=$F$3,"Yes","No"),"Enabler")</f>
        <v>No</v>
      </c>
      <c r="J10" s="13" t="s">
        <v>25</v>
      </c>
      <c r="K10" s="14" t="n">
        <f aca="false">C10</f>
        <v>0.4</v>
      </c>
    </row>
    <row r="11" customFormat="false" ht="23.85" hidden="false" customHeight="false" outlineLevel="0" collapsed="false">
      <c r="A11" s="7" t="s">
        <v>26</v>
      </c>
      <c r="B11" s="8" t="n">
        <v>0.92</v>
      </c>
      <c r="C11" s="8" t="n">
        <v>0.92</v>
      </c>
      <c r="D11" s="9" t="n">
        <f aca="false">C11-B11</f>
        <v>0</v>
      </c>
      <c r="E11" s="10" t="n">
        <v>0</v>
      </c>
      <c r="F11" s="8" t="n">
        <v>1.2</v>
      </c>
      <c r="G11" s="8" t="n">
        <v>1.2</v>
      </c>
      <c r="H11" s="11" t="n">
        <f aca="false">IF(G11&gt;0,K11/(G11*($B$3-E11*$D$3))*12,"n/a")</f>
        <v>13.5294117647059</v>
      </c>
      <c r="I11" s="12" t="str">
        <f aca="false">IF(G11&gt;0,IF(H11&lt;=$F$3,"Yes","No"),"Enabler")</f>
        <v>Yes</v>
      </c>
      <c r="J11" s="13" t="s">
        <v>27</v>
      </c>
      <c r="K11" s="14" t="n">
        <f aca="false">C11</f>
        <v>0.92</v>
      </c>
    </row>
    <row r="12" customFormat="false" ht="15" hidden="false" customHeight="false" outlineLevel="0" collapsed="false">
      <c r="A12" s="7" t="s">
        <v>28</v>
      </c>
      <c r="B12" s="8" t="n">
        <v>0.96</v>
      </c>
      <c r="C12" s="8" t="n">
        <v>0.64</v>
      </c>
      <c r="D12" s="9" t="n">
        <f aca="false">C12-B12</f>
        <v>-0.32</v>
      </c>
      <c r="E12" s="10" t="n">
        <v>0</v>
      </c>
      <c r="F12" s="8" t="n">
        <v>1</v>
      </c>
      <c r="G12" s="8" t="n">
        <v>0.7</v>
      </c>
      <c r="H12" s="11" t="n">
        <f aca="false">IF(G12&gt;0,K12/(G12*($B$3-E12*$D$3))*12,"n/a")</f>
        <v>16.1344537815126</v>
      </c>
      <c r="I12" s="12" t="str">
        <f aca="false">IF(G12&gt;0,IF(H12&lt;=$F$3,"Yes","No"),"Enabler")</f>
        <v>No</v>
      </c>
      <c r="J12" s="13" t="s">
        <v>29</v>
      </c>
      <c r="K12" s="14" t="n">
        <f aca="false">C12</f>
        <v>0.64</v>
      </c>
    </row>
    <row r="13" customFormat="false" ht="22.35" hidden="false" customHeight="false" outlineLevel="0" collapsed="false">
      <c r="A13" s="7" t="s">
        <v>30</v>
      </c>
      <c r="B13" s="8" t="n">
        <v>1</v>
      </c>
      <c r="C13" s="8" t="n">
        <v>1</v>
      </c>
      <c r="D13" s="9" t="n">
        <f aca="false">C13-B13</f>
        <v>0</v>
      </c>
      <c r="E13" s="10" t="n">
        <v>0</v>
      </c>
      <c r="F13" s="8" t="n">
        <v>0</v>
      </c>
      <c r="G13" s="8" t="n">
        <v>0</v>
      </c>
      <c r="H13" s="11" t="str">
        <f aca="false">IF(G13&gt;0,K13/(G13*($B$3-E13*$D$3))*12,"n/a")</f>
        <v>n/a</v>
      </c>
      <c r="I13" s="12" t="str">
        <f aca="false">IF(G13&gt;0,IF(H13&lt;=$F$3,"Yes","No"),"Enabler")</f>
        <v>Enabler</v>
      </c>
      <c r="J13" s="13" t="s">
        <v>31</v>
      </c>
      <c r="K13" s="14" t="n">
        <f aca="false">C13</f>
        <v>1</v>
      </c>
    </row>
    <row r="14" customFormat="false" ht="23.85" hidden="false" customHeight="false" outlineLevel="0" collapsed="false">
      <c r="A14" s="7" t="s">
        <v>32</v>
      </c>
      <c r="B14" s="8" t="n">
        <v>0.6</v>
      </c>
      <c r="C14" s="8" t="n">
        <v>0.6</v>
      </c>
      <c r="D14" s="9" t="n">
        <f aca="false">C14-B14</f>
        <v>0</v>
      </c>
      <c r="E14" s="10" t="n">
        <v>0</v>
      </c>
      <c r="F14" s="8" t="n">
        <v>0</v>
      </c>
      <c r="G14" s="8" t="n">
        <v>0</v>
      </c>
      <c r="H14" s="11" t="str">
        <f aca="false">IF(G14&gt;0,K14/(G14*($B$3-E14*$D$3))*12,"n/a")</f>
        <v>n/a</v>
      </c>
      <c r="I14" s="12" t="str">
        <f aca="false">IF(G14&gt;0,IF(H14&lt;=$F$3,"Yes","No"),"Enabler")</f>
        <v>Enabler</v>
      </c>
      <c r="J14" s="13" t="s">
        <v>33</v>
      </c>
      <c r="K14" s="14" t="n">
        <f aca="false">C14</f>
        <v>0.6</v>
      </c>
    </row>
    <row r="15" customFormat="false" ht="23.85" hidden="false" customHeight="false" outlineLevel="0" collapsed="false">
      <c r="A15" s="7" t="s">
        <v>34</v>
      </c>
      <c r="B15" s="8" t="n">
        <v>0.8</v>
      </c>
      <c r="C15" s="8" t="n">
        <v>0.8</v>
      </c>
      <c r="D15" s="9" t="n">
        <f aca="false">C15-B15</f>
        <v>0</v>
      </c>
      <c r="E15" s="10" t="n">
        <v>0</v>
      </c>
      <c r="F15" s="8" t="n">
        <v>1</v>
      </c>
      <c r="G15" s="8" t="n">
        <v>1</v>
      </c>
      <c r="H15" s="11" t="n">
        <f aca="false">IF(G15&gt;0,K15/(G15*($B$3-E15*$D$3))*12,"n/a")</f>
        <v>14.1176470588235</v>
      </c>
      <c r="I15" s="12" t="str">
        <f aca="false">IF(G15&gt;0,IF(H15&lt;=$F$3,"Yes","No"),"Enabler")</f>
        <v>Yes</v>
      </c>
      <c r="J15" s="13" t="s">
        <v>35</v>
      </c>
      <c r="K15" s="14" t="n">
        <f aca="false">C15</f>
        <v>0.8</v>
      </c>
    </row>
    <row r="16" customFormat="false" ht="22.35" hidden="false" customHeight="false" outlineLevel="0" collapsed="false">
      <c r="A16" s="7" t="s">
        <v>36</v>
      </c>
      <c r="B16" s="8" t="n">
        <v>6</v>
      </c>
      <c r="C16" s="8" t="n">
        <v>1.5</v>
      </c>
      <c r="D16" s="9" t="n">
        <f aca="false">C16-B16</f>
        <v>-4.5</v>
      </c>
      <c r="E16" s="10" t="n">
        <v>0</v>
      </c>
      <c r="F16" s="8" t="n">
        <v>0.1</v>
      </c>
      <c r="G16" s="8" t="n">
        <v>2.5</v>
      </c>
      <c r="H16" s="11" t="n">
        <f aca="false">IF(G16&gt;0,K16/(G16*($B$3-E16*$D$3))*12,"n/a")</f>
        <v>21.1764705882353</v>
      </c>
      <c r="I16" s="12" t="str">
        <f aca="false">IF(G16&gt;0,IF(H16&lt;=$F$3,"Yes","No"),"Enabler")</f>
        <v>No</v>
      </c>
      <c r="J16" s="13" t="s">
        <v>37</v>
      </c>
      <c r="K16" s="8" t="n">
        <v>3</v>
      </c>
    </row>
    <row r="17" customFormat="false" ht="23.85" hidden="false" customHeight="false" outlineLevel="0" collapsed="false">
      <c r="A17" s="7" t="s">
        <v>38</v>
      </c>
      <c r="B17" s="8" t="n">
        <v>1.54</v>
      </c>
      <c r="C17" s="8" t="n">
        <v>3.36</v>
      </c>
      <c r="D17" s="9" t="n">
        <f aca="false">C17-B17</f>
        <v>1.82</v>
      </c>
      <c r="E17" s="10" t="n">
        <v>0</v>
      </c>
      <c r="F17" s="8" t="n">
        <v>0</v>
      </c>
      <c r="G17" s="8" t="n">
        <v>0</v>
      </c>
      <c r="H17" s="11" t="str">
        <f aca="false">IF(G17&gt;0,K17/(G17*($B$3-E17*$D$3))*12,"n/a")</f>
        <v>n/a</v>
      </c>
      <c r="I17" s="12" t="str">
        <f aca="false">IF(G17&gt;0,IF(H17&lt;=$F$3,"Yes","No"),"Enabler")</f>
        <v>Enabler</v>
      </c>
      <c r="J17" s="13" t="s">
        <v>39</v>
      </c>
      <c r="K17" s="14" t="n">
        <f aca="false">C17</f>
        <v>3.36</v>
      </c>
    </row>
    <row r="18" customFormat="false" ht="15" hidden="false" customHeight="false" outlineLevel="0" collapsed="false">
      <c r="A18" s="15" t="s">
        <v>40</v>
      </c>
      <c r="B18" s="16" t="n">
        <f aca="false">SUM(B6:B17)</f>
        <v>18</v>
      </c>
      <c r="C18" s="16" t="n">
        <f aca="false">SUM(C6:C17)</f>
        <v>15</v>
      </c>
      <c r="D18" s="16" t="n">
        <f aca="false">SUM(D6:D17)</f>
        <v>-3</v>
      </c>
      <c r="E18" s="12"/>
      <c r="F18" s="16" t="n">
        <f aca="false">SUM(F6:F17)</f>
        <v>12</v>
      </c>
      <c r="G18" s="16" t="n">
        <f aca="false">SUM(G6:G17)</f>
        <v>16.5</v>
      </c>
      <c r="H18" s="12"/>
      <c r="I18" s="12"/>
      <c r="J18" s="12"/>
      <c r="K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customFormat="false" ht="15" hidden="false" customHeight="false" outlineLevel="0" collapsed="false">
      <c r="A20" s="15" t="s">
        <v>41</v>
      </c>
      <c r="B20" s="12"/>
      <c r="C20" s="15" t="str">
        <f aca="false">IF(C18&lt;=15.0001,"OK","OVER")</f>
        <v>OK</v>
      </c>
      <c r="D20" s="12"/>
      <c r="E20" s="12"/>
      <c r="F20" s="12"/>
      <c r="G20" s="12"/>
      <c r="H20" s="12"/>
      <c r="I20" s="12"/>
      <c r="J20" s="12"/>
      <c r="K20" s="12"/>
    </row>
    <row r="21" customFormat="false" ht="15" hidden="false" customHeight="false" outlineLevel="0" collapsed="false">
      <c r="A21" s="12" t="s">
        <v>42</v>
      </c>
      <c r="B21" s="12"/>
      <c r="C21" s="11" t="n">
        <f aca="false">(SUM(K6:K16)-K13-K14)/(SUMPRODUCT(G6:G16,$B$3-E6:E16*$D$3))*12</f>
        <v>13.0579915134371</v>
      </c>
      <c r="D21" s="12"/>
      <c r="E21" s="12"/>
      <c r="F21" s="12"/>
      <c r="G21" s="12"/>
      <c r="H21" s="12"/>
      <c r="I21" s="12"/>
      <c r="J21" s="12"/>
      <c r="K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customFormat="false" ht="15" hidden="false" customHeight="false" outlineLevel="0" collapsed="false">
      <c r="A23" s="15" t="s">
        <v>43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customFormat="false" ht="15" hidden="false" customHeight="false" outlineLevel="0" collapsed="false">
      <c r="A24" s="12" t="s">
        <v>44</v>
      </c>
      <c r="B24" s="12"/>
      <c r="C24" s="5" t="n">
        <v>1.6</v>
      </c>
      <c r="D24" s="12"/>
      <c r="E24" s="12"/>
      <c r="F24" s="12"/>
      <c r="G24" s="12"/>
      <c r="H24" s="12"/>
      <c r="I24" s="12"/>
      <c r="J24" s="12"/>
      <c r="K24" s="12"/>
    </row>
    <row r="25" customFormat="false" ht="15" hidden="false" customHeight="false" outlineLevel="0" collapsed="false">
      <c r="A25" s="12" t="s">
        <v>45</v>
      </c>
      <c r="B25" s="12"/>
      <c r="C25" s="5" t="n">
        <v>2</v>
      </c>
      <c r="D25" s="12"/>
      <c r="E25" s="12"/>
      <c r="F25" s="12"/>
      <c r="G25" s="12"/>
      <c r="H25" s="12"/>
      <c r="I25" s="12"/>
      <c r="J25" s="12"/>
      <c r="K25" s="12"/>
    </row>
    <row r="26" customFormat="false" ht="15" hidden="false" customHeight="false" outlineLevel="0" collapsed="false">
      <c r="A26" s="12" t="s">
        <v>46</v>
      </c>
      <c r="B26" s="12"/>
      <c r="C26" s="11" t="n">
        <f aca="false">C24/(C25*$B$3)*12</f>
        <v>14.1176470588235</v>
      </c>
      <c r="D26" s="12"/>
      <c r="E26" s="12"/>
      <c r="F26" s="12"/>
      <c r="G26" s="12"/>
      <c r="H26" s="12"/>
      <c r="I26" s="12"/>
      <c r="J26" s="12"/>
      <c r="K26" s="12"/>
    </row>
    <row r="27" customFormat="false" ht="15" hidden="false" customHeight="false" outlineLevel="0" collapsed="false">
      <c r="A27" s="12" t="s">
        <v>47</v>
      </c>
      <c r="B27" s="12"/>
      <c r="C27" s="5" t="n">
        <v>0.75</v>
      </c>
      <c r="D27" s="5" t="n">
        <v>2.5</v>
      </c>
      <c r="E27" s="11" t="n">
        <f aca="false">6*0.5/(D27*$B$3)*12</f>
        <v>21.1764705882353</v>
      </c>
      <c r="F27" s="12"/>
      <c r="G27" s="12"/>
      <c r="H27" s="12"/>
      <c r="I27" s="12"/>
      <c r="J27" s="12"/>
      <c r="K27" s="12"/>
    </row>
    <row r="28" customFormat="false" ht="15" hidden="false" customHeight="false" outlineLevel="0" collapsed="false">
      <c r="A28" s="2" t="s">
        <v>48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2026-09-23T10:38:30Z</dcterms:created>
  <dc:creator>openpyxl</dc:creator>
  <dc:description/>
  <dc:language>en-US</dc:language>
  <cp:lastModifiedBy/>
  <dcterms:modified xsi:type="dcterms:W3CDTF">2026-09-23T10:38:30Z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
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cope_Price" sheetId="3" state="visible" r:id="rId5"/>
    <sheet name="Value" sheetId="4" state="visible" r:id="rId6"/>
    <sheet name="Payback" sheetId="5" state="visible" r:id="rId7"/>
    <sheet name="TCO_3yr" sheetId="6" state="visible" r:id="rId8"/>
    <sheet name="Discount_Rules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<sst xmlns="http://schemas.openxmlformats.org/spreadsheetml/2006/main" count="197" uniqueCount="180">
  <si>
    <t xml:space="preserve">D3 VALUE MODEL: RANGANATH PRECISION COMPONENTS (CHAKAN PLANT 2)</t>
  </si>
  <si>
    <t xml:space="preserve">Company</t>
  </si>
  <si>
    <t xml:space="preserve">Strata Sense and Ranganath are fictional; synthetic data (MBA capstone).</t>
  </si>
  <si>
    <t xml:space="preserve">Colour code</t>
  </si>
  <si>
    <t xml:space="preserve">Green fill = number supplied by the buyer in discovery (who said it is in the Source column). Blue text = input. Yellow fill = Strata assumption to validate in the pilot. Black = formula.</t>
  </si>
  <si>
    <t xml:space="preserve">Money</t>
  </si>
  <si>
    <t xml:space="preserve">₹ crore unless marked lakh (1 crore = 100 lakh).</t>
  </si>
  <si>
    <t xml:space="preserve">Scenarios</t>
  </si>
  <si>
    <t xml:space="preserve">Conservative = what Kavita's 12-month payback rule is tested on (no penalties, no energy, shortest outages). Base and Upside shown for context.</t>
  </si>
  <si>
    <t xml:space="preserve">Options</t>
  </si>
  <si>
    <t xml:space="preserve">Good = press line (22 presses + ~140 hydraulic pumps/motors = 162 assets). Better = Good + 60 compressors + ~200 critical pumps, chillers and fans (422). Best = every non-spindle asset (670); the 480 CNC spindles stay with the Helix pilot.</t>
  </si>
  <si>
    <t xml:space="preserve">Sheets</t>
  </si>
  <si>
    <t xml:space="preserve">Inputs · Scope_Price · Value · Payback · TCO_3yr · Discount_Rules · Checks</t>
  </si>
  <si>
    <t xml:space="preserve">Inputs</t>
  </si>
  <si>
    <t xml:space="preserve">Green = buyer-supplied (role-play, Week 3). Yellow = assumption. Column B-D = Conservative / Base / Upside where they differ.</t>
  </si>
  <si>
    <t xml:space="preserve">Input</t>
  </si>
  <si>
    <t xml:space="preserve">Conservative</t>
  </si>
  <si>
    <t xml:space="preserve">Base</t>
  </si>
  <si>
    <t xml:space="preserve">Upside</t>
  </si>
  <si>
    <t xml:space="preserve">Source</t>
  </si>
  <si>
    <t xml:space="preserve">Major press failures per year</t>
  </si>
  <si>
    <t xml:space="preserve">Suresh (plant head): 3 in FY26</t>
  </si>
  <si>
    <t xml:space="preserve">Hours down per major press failure</t>
  </si>
  <si>
    <t xml:space="preserve">Suresh: 36–60 hours each (Nov event 52 h)</t>
  </si>
  <si>
    <t xml:space="preserve">Press-line contribution lost per hour (₹ lakh)</t>
  </si>
  <si>
    <t xml:space="preserve">Kavita (CFO): ₹5.5 lakh/h</t>
  </si>
  <si>
    <t xml:space="preserve">Machining-line contribution lost per hour (₹ lakh)</t>
  </si>
  <si>
    <t xml:space="preserve">Kavita: ₹2.4 lakh/h</t>
  </si>
  <si>
    <t xml:space="preserve">OEM penalty per stoppage event (₹ lakh)</t>
  </si>
  <si>
    <t xml:space="preserve">Kavita: ₹1.2 cr in Nov (₹8 lakh/h × ~15 h)</t>
  </si>
  <si>
    <t xml:space="preserve">OEM stoppage events per year</t>
  </si>
  <si>
    <t xml:space="preserve">Suresh/Kavita: one in FY26</t>
  </si>
  <si>
    <t xml:space="preserve">Plant maintenance spend per year (₹ cr)</t>
  </si>
  <si>
    <t xml:space="preserve">Suresh: ₹6.5 cr</t>
  </si>
  <si>
    <t xml:space="preserve">Share of maintenance that is reactive</t>
  </si>
  <si>
    <t xml:space="preserve">Suresh: ~55%</t>
  </si>
  <si>
    <t xml:space="preserve">Plant spares inventory (₹ cr)</t>
  </si>
  <si>
    <t xml:space="preserve">Kavita: ₹5.2 cr (group ₹38 cr)</t>
  </si>
  <si>
    <t xml:space="preserve">Group power bill (₹ cr/yr)</t>
  </si>
  <si>
    <t xml:space="preserve">Kavita: ₹62 cr</t>
  </si>
  <si>
    <t xml:space="preserve">Compressor share of plant electricity</t>
  </si>
  <si>
    <t xml:space="preserve">Kavita: ~18%</t>
  </si>
  <si>
    <t xml:space="preserve">Payback rule (months, conservative case)</t>
  </si>
  <si>
    <t xml:space="preserve">Kavita: under 12 months</t>
  </si>
  <si>
    <t xml:space="preserve">CFO's own approval limit (₹ cr/yr opex)</t>
  </si>
  <si>
    <t xml:space="preserve">Kavita: ₹1.5 cr; above → committee (15 Jul / 15 Oct)</t>
  </si>
  <si>
    <t xml:space="preserve">Share of major press failures caught early</t>
  </si>
  <si>
    <t xml:space="preserve">Assumption; pilot success criterion</t>
  </si>
  <si>
    <t xml:space="preserve">Share of outage hours avoided when caught early</t>
  </si>
  <si>
    <t xml:space="preserve">Assumption: planned repair in a scheduled window still takes time</t>
  </si>
  <si>
    <t xml:space="preserve">Share of OEM penalty exposure counted</t>
  </si>
  <si>
    <t xml:space="preserve">Conservative counts none (CFO)</t>
  </si>
  <si>
    <t xml:space="preserve">Machining hours saved per year from utility failures (Better/Best)</t>
  </si>
  <si>
    <t xml:space="preserve">Assumption; replace with Suresh's paper logs</t>
  </si>
  <si>
    <t xml:space="preserve">Cut in reactive maintenance cost on monitored assets</t>
  </si>
  <si>
    <t xml:space="preserve">Assumption</t>
  </si>
  <si>
    <t xml:space="preserve">Compressor energy saved (Better/Best)</t>
  </si>
  <si>
    <t xml:space="preserve">Assumption; CFO discounts heavily, so conservative = 0</t>
  </si>
  <si>
    <t xml:space="preserve">Spares reduction on monitored assets (one-off cash)</t>
  </si>
  <si>
    <t xml:space="preserve">Plants in group (for plant power share)</t>
  </si>
  <si>
    <t xml:space="preserve">Kavita: 9 plants; plant power = group ÷ 9 (assumption)</t>
  </si>
  <si>
    <t xml:space="preserve">Asset counts, Chakan P2 (Suresh)</t>
  </si>
  <si>
    <t xml:space="preserve">CNC spindles (in Helix pilot)</t>
  </si>
  <si>
    <t xml:space="preserve">Suresh: ~1,150 total</t>
  </si>
  <si>
    <t xml:space="preserve">Hydraulic presses</t>
  </si>
  <si>
    <t xml:space="preserve">Pumps/motors on press hydraulics</t>
  </si>
  <si>
    <t xml:space="preserve">Compressors and blowers</t>
  </si>
  <si>
    <t xml:space="preserve">Other pumps, fans, chillers, conveyors</t>
  </si>
  <si>
    <t xml:space="preserve">Total rotating assets</t>
  </si>
  <si>
    <t xml:space="preserve">Scope and price</t>
  </si>
  <si>
    <t xml:space="preserve">List prices from DR5; per-asset pricing; hardware can be bundled as a service to keep the contract opex</t>
  </si>
  <si>
    <t xml:space="preserve">Item</t>
  </si>
  <si>
    <t xml:space="preserve">Good: press line</t>
  </si>
  <si>
    <t xml:space="preserve">Better: + compressors &amp; critical utilities</t>
  </si>
  <si>
    <t xml:space="preserve">Best: all non-spindle assets</t>
  </si>
  <si>
    <t xml:space="preserve">Critical utilities included in Better (count)</t>
  </si>
  <si>
    <t xml:space="preserve">Assumption: most critical of the 448</t>
  </si>
  <si>
    <t xml:space="preserve">Monitored assets</t>
  </si>
  <si>
    <t xml:space="preserve">List subscription per asset (₹/yr)</t>
  </si>
  <si>
    <t xml:space="preserve">DR5 Strata list price</t>
  </si>
  <si>
    <t xml:space="preserve">Hardware per asset, one-off (₹)</t>
  </si>
  <si>
    <t xml:space="preserve">DR5: ₹9,000–14,000, avg ~₹11,000</t>
  </si>
  <si>
    <t xml:space="preserve">Assets per gateway / gateway cost (₹ lakh)</t>
  </si>
  <si>
    <t xml:space="preserve">DR5</t>
  </si>
  <si>
    <t xml:space="preserve">Implementation per plant (₹ lakh)</t>
  </si>
  <si>
    <t xml:space="preserve">Edge server for on-premise buffering (₹ lakh)</t>
  </si>
  <si>
    <t xml:space="preserve">Assumption; required by RPC CISO rules (Kavita)</t>
  </si>
  <si>
    <t xml:space="preserve">Annual subscription = ARR (₹ cr)</t>
  </si>
  <si>
    <t xml:space="preserve">Hardware + gateways + implementation + edge, one-off (₹ cr)</t>
  </si>
  <si>
    <t xml:space="preserve">Year-1 cost, hardware paid upfront (₹ cr)</t>
  </si>
  <si>
    <t xml:space="preserve">Hardware-as-a-service: one-offs spread over 36 months at 10% (₹ cr/yr)</t>
  </si>
  <si>
    <t xml:space="preserve">Annual fee with hardware as a service (₹ cr/yr)</t>
  </si>
  <si>
    <t xml:space="preserve">Within CFO's own ₹1.5 cr limit?</t>
  </si>
  <si>
    <t xml:space="preserve">Paid pilot (press line, 4 months), fee (₹ cr)</t>
  </si>
  <si>
    <t xml:space="preserve">Covers hardware and install; credited in full to year 1 on conversion</t>
  </si>
  <si>
    <t xml:space="preserve">Annual value by driver (₹ cr)</t>
  </si>
  <si>
    <t xml:space="preserve">Formulas use the Inputs sheet; each driver switches on only for the options that cover those assets</t>
  </si>
  <si>
    <t xml:space="preserve">Driver</t>
  </si>
  <si>
    <t xml:space="preserve">Good C</t>
  </si>
  <si>
    <t xml:space="preserve">Good B</t>
  </si>
  <si>
    <t xml:space="preserve">Good U</t>
  </si>
  <si>
    <t xml:space="preserve">Better C</t>
  </si>
  <si>
    <t xml:space="preserve">Better B</t>
  </si>
  <si>
    <t xml:space="preserve">Better U</t>
  </si>
  <si>
    <t xml:space="preserve">Best C</t>
  </si>
  <si>
    <t xml:space="preserve">Best B</t>
  </si>
  <si>
    <t xml:space="preserve">Best U</t>
  </si>
  <si>
    <t xml:space="preserve">Press downtime avoided</t>
  </si>
  <si>
    <t xml:space="preserve">OEM penalties avoided</t>
  </si>
  <si>
    <t xml:space="preserve">Machining downtime avoided (utility failures)</t>
  </si>
  <si>
    <t xml:space="preserve">Reactive maintenance saved</t>
  </si>
  <si>
    <t xml:space="preserve">Compressor energy saved</t>
  </si>
  <si>
    <t xml:space="preserve">Total annual value</t>
  </si>
  <si>
    <t xml:space="preserve">One-off cash from lower spares inventory</t>
  </si>
  <si>
    <t xml:space="preserve">Share of maintenance spend on monitored assets</t>
  </si>
  <si>
    <t xml:space="preserve">Share of spares for monitored assets</t>
  </si>
  <si>
    <t xml:space="preserve">Best adds 30% more machining-hours saved than Better (wider utility coverage): assumption.</t>
  </si>
  <si>
    <t xml:space="preserve">Payback and ROI</t>
  </si>
  <si>
    <t xml:space="preserve">Payback months = annual fee (hardware as a service) ÷ annual value × 12. Tested on Conservative.</t>
  </si>
  <si>
    <t xml:space="preserve">Measure</t>
  </si>
  <si>
    <t xml:space="preserve">Annual value (₹ cr)</t>
  </si>
  <si>
    <t xml:space="preserve">Annual fee incl. hardware as a service (₹ cr)</t>
  </si>
  <si>
    <t xml:space="preserve">Net annual benefit (₹ cr)</t>
  </si>
  <si>
    <t xml:space="preserve">Payback (months)</t>
  </si>
  <si>
    <t xml:space="preserve">Value ÷ fee (x)</t>
  </si>
  <si>
    <t xml:space="preserve">Meets CFO 12-month rule? (Conservative)</t>
  </si>
  <si>
    <t xml:space="preserve">Three-year total cost and value-adjusted comparison (Good scope: press line)</t>
  </si>
  <si>
    <t xml:space="preserve">DR5 list prices. Helix year 1 is free only with a 3-year MES renewal (Kavita).</t>
  </si>
  <si>
    <t xml:space="preserve">Strata Cortex</t>
  </si>
  <si>
    <t xml:space="preserve">HelixAsset</t>
  </si>
  <si>
    <t xml:space="preserve">TrueSense AI</t>
  </si>
  <si>
    <t xml:space="preserve">Source / note</t>
  </si>
  <si>
    <t xml:space="preserve">Assets in scope</t>
  </si>
  <si>
    <t xml:space="preserve">Subscription per asset per year (₹)</t>
  </si>
  <si>
    <t xml:space="preserve">DR5 list prices</t>
  </si>
  <si>
    <t xml:space="preserve">Years charged out of 3</t>
  </si>
  <si>
    <t xml:space="preserve">Helix: year 1 free with 3-year MES lock-in</t>
  </si>
  <si>
    <t xml:space="preserve">Sensor hardware per asset (₹)</t>
  </si>
  <si>
    <t xml:space="preserve">DR5: presses are not wired to Helix PLCs and have no online sensors today (Suresh)</t>
  </si>
  <si>
    <t xml:space="preserve">Other one-offs (gateways, implementation, edge) (₹ cr)</t>
  </si>
  <si>
    <t xml:space="preserve">Rival integration/edge costs: assumption</t>
  </si>
  <si>
    <t xml:space="preserve">Three-year cost (₹ cr)</t>
  </si>
  <si>
    <t xml:space="preserve">Share of press failures caught early (base)</t>
  </si>
  <si>
    <t xml:space="preserve">Helix sees PLC tags only; TrueSense weaker on hydraulic/low-speed assets (DR5). Assumptions to prove head-to-head in the pilot.</t>
  </si>
  <si>
    <t xml:space="preserve">Three-year value, base (₹ cr)</t>
  </si>
  <si>
    <t xml:space="preserve">Three-year net value (₹ cr)</t>
  </si>
  <si>
    <t xml:space="preserve">Strata cost premium vs rival (₹ cr, 3 years)</t>
  </si>
  <si>
    <t xml:space="preserve">Strata net-value advantage vs rival (₹ cr, 3 years)</t>
  </si>
  <si>
    <t xml:space="preserve">Reading: Strata costs more over three years; it only wins if it catches materially more press failures. The pilot must prove that, so the detection rate is the pilot's first success criterion. Not costed: the value of avoiding a 3-year MES lock-in.</t>
  </si>
  <si>
    <t xml:space="preserve">Discount rules: every point is traded for something</t>
  </si>
  <si>
    <t xml:space="preserve">List ₹12,500 per asset per year. FY26 average discount was 19% and bought no extra wins (D1).</t>
  </si>
  <si>
    <t xml:space="preserve">Give (discount off subscription)</t>
  </si>
  <si>
    <t xml:space="preserve">Max %</t>
  </si>
  <si>
    <t xml:space="preserve">Get (what RPC commits)</t>
  </si>
  <si>
    <t xml:space="preserve">Three-year term</t>
  </si>
  <si>
    <t xml:space="preserve">Contracted 3-year subscription with annual payment</t>
  </si>
  <si>
    <t xml:space="preserve">Annual payment in advance</t>
  </si>
  <si>
    <t xml:space="preserve">12 months paid upfront</t>
  </si>
  <si>
    <t xml:space="preserve">Second-site commitment</t>
  </si>
  <si>
    <t xml:space="preserve">Signed option to extend to a Chennai forging plant within 12 months of conversion</t>
  </si>
  <si>
    <t xml:space="preserve">Reference and case study</t>
  </si>
  <si>
    <t xml:space="preserve">Named reference, site visit and a published case study after 6 months</t>
  </si>
  <si>
    <t xml:space="preserve">Maximum total discount</t>
  </si>
  <si>
    <t xml:space="preserve">Hard cap 15% (brief target: average discount ≤ 14%)</t>
  </si>
  <si>
    <t xml:space="preserve">Floor price per asset (₹/yr)</t>
  </si>
  <si>
    <t xml:space="preserve">Never traded</t>
  </si>
  <si>
    <t xml:space="preserve">Hardware below cost · a free pilot without a signed conversion price · outcome-linked fees without a measured baseline · discounts for 'matching Helix year-1 free'</t>
  </si>
  <si>
    <t xml:space="preserve">Outcome-linked option (no discount)</t>
  </si>
  <si>
    <t xml:space="preserve">15% of the annual subscription at risk, paid only if agreed avoided-downtime hours are met; measured from Suresh's paper press log as baseline.</t>
  </si>
  <si>
    <t xml:space="preserve">Negotiation test: Neha asks 30% off</t>
  </si>
  <si>
    <t xml:space="preserve">Checks</t>
  </si>
  <si>
    <t xml:space="preserve">Check</t>
  </si>
  <si>
    <t xml:space="preserve">Value</t>
  </si>
  <si>
    <t xml:space="preserve">OK?</t>
  </si>
  <si>
    <t xml:space="preserve">Asset total = ~1,150 (Suresh)</t>
  </si>
  <si>
    <t xml:space="preserve">Better year-1 fee within CFO limit</t>
  </si>
  <si>
    <t xml:space="preserve">Good payback, conservative (months)</t>
  </si>
  <si>
    <t xml:space="preserve">Better payback, conservative (months)</t>
  </si>
  <si>
    <t xml:space="preserve">Max discount ≤ 15%</t>
  </si>
  <si>
    <t xml:space="preserve">Nov OEM penalty reconciles (₹8 lakh × 15 h = ₹120 lakh)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</si>
</sst>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%"/>
    <numFmt numFmtId="168" formatCode="#,##0"/>
    <numFmt numFmtId="169" formatCode="#,##0.00;\(#,##0.00\);\-"/>
    <numFmt numFmtId="170" formatCode="0.0\x"/>
    <numFmt numFmtId="171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514E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D9F2E6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F2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  <row r="6" customFormat="false" ht="23.85" hidden="false" customHeight="false" outlineLevel="0" collapsed="false">
      <c r="A6" s="3" t="s">
        <v>9</v>
      </c>
      <c r="B6" s="2" t="s">
        <v>10</v>
      </c>
    </row>
    <row r="7" customFormat="false" ht="15" hidden="false" customHeight="false" outlineLevel="0" collapsed="false">
      <c r="A7" s="3" t="s">
        <v>11</v>
      </c>
      <c r="B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  <col collapsed="false" customWidth="true" hidden="false" outlineLevel="0" max="5" min="5" style="0" width="58"/>
  </cols>
  <sheetData>
    <row r="1" customFormat="false" ht="16.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5" t="s">
        <v>14</v>
      </c>
    </row>
    <row r="4" customFormat="false" ht="15" hidden="false" customHeight="false" outlineLevel="0" collapsed="false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customFormat="false" ht="15" hidden="false" customHeight="false" outlineLevel="0" collapsed="false">
      <c r="A5" s="3" t="s">
        <v>20</v>
      </c>
      <c r="B5" s="7" t="n">
        <v>3</v>
      </c>
      <c r="C5" s="7" t="n">
        <v>3</v>
      </c>
      <c r="D5" s="7" t="n">
        <v>3</v>
      </c>
      <c r="E5" s="8" t="s">
        <v>21</v>
      </c>
    </row>
    <row r="6" customFormat="false" ht="15" hidden="false" customHeight="false" outlineLevel="0" collapsed="false">
      <c r="A6" s="3" t="s">
        <v>22</v>
      </c>
      <c r="B6" s="7" t="n">
        <v>36</v>
      </c>
      <c r="C6" s="7" t="n">
        <v>48</v>
      </c>
      <c r="D6" s="7" t="n">
        <v>60</v>
      </c>
      <c r="E6" s="8" t="s">
        <v>23</v>
      </c>
    </row>
    <row r="7" customFormat="false" ht="15" hidden="false" customHeight="false" outlineLevel="0" collapsed="false">
      <c r="A7" s="3" t="s">
        <v>24</v>
      </c>
      <c r="B7" s="9" t="n">
        <v>5.5</v>
      </c>
      <c r="C7" s="9" t="n">
        <v>5.5</v>
      </c>
      <c r="D7" s="9" t="n">
        <v>5.5</v>
      </c>
      <c r="E7" s="8" t="s">
        <v>25</v>
      </c>
    </row>
    <row r="8" customFormat="false" ht="15" hidden="false" customHeight="false" outlineLevel="0" collapsed="false">
      <c r="A8" s="3" t="s">
        <v>26</v>
      </c>
      <c r="B8" s="9" t="n">
        <v>2.4</v>
      </c>
      <c r="C8" s="9" t="n">
        <v>2.4</v>
      </c>
      <c r="D8" s="9" t="n">
        <v>2.4</v>
      </c>
      <c r="E8" s="8" t="s">
        <v>27</v>
      </c>
    </row>
    <row r="9" customFormat="false" ht="15" hidden="false" customHeight="false" outlineLevel="0" collapsed="false">
      <c r="A9" s="3" t="s">
        <v>28</v>
      </c>
      <c r="B9" s="7" t="n">
        <v>120</v>
      </c>
      <c r="C9" s="7" t="n">
        <v>120</v>
      </c>
      <c r="D9" s="7" t="n">
        <v>120</v>
      </c>
      <c r="E9" s="8" t="s">
        <v>29</v>
      </c>
    </row>
    <row r="10" customFormat="false" ht="15" hidden="false" customHeight="false" outlineLevel="0" collapsed="false">
      <c r="A10" s="3" t="s">
        <v>30</v>
      </c>
      <c r="B10" s="7" t="n">
        <v>1</v>
      </c>
      <c r="C10" s="7" t="n">
        <v>1</v>
      </c>
      <c r="D10" s="7" t="n">
        <v>1</v>
      </c>
      <c r="E10" s="8" t="s">
        <v>31</v>
      </c>
    </row>
    <row r="11" customFormat="false" ht="15" hidden="false" customHeight="false" outlineLevel="0" collapsed="false">
      <c r="A11" s="3" t="s">
        <v>32</v>
      </c>
      <c r="B11" s="9" t="n">
        <v>6.5</v>
      </c>
      <c r="C11" s="9" t="n">
        <v>6.5</v>
      </c>
      <c r="D11" s="9" t="n">
        <v>6.5</v>
      </c>
      <c r="E11" s="8" t="s">
        <v>33</v>
      </c>
    </row>
    <row r="12" customFormat="false" ht="15" hidden="false" customHeight="false" outlineLevel="0" collapsed="false">
      <c r="A12" s="3" t="s">
        <v>34</v>
      </c>
      <c r="B12" s="10" t="n">
        <v>0.55</v>
      </c>
      <c r="C12" s="10" t="n">
        <v>0.55</v>
      </c>
      <c r="D12" s="10" t="n">
        <v>0.55</v>
      </c>
      <c r="E12" s="8" t="s">
        <v>35</v>
      </c>
    </row>
    <row r="13" customFormat="false" ht="15" hidden="false" customHeight="false" outlineLevel="0" collapsed="false">
      <c r="A13" s="3" t="s">
        <v>36</v>
      </c>
      <c r="B13" s="9" t="n">
        <v>5.2</v>
      </c>
      <c r="C13" s="9" t="n">
        <v>5.2</v>
      </c>
      <c r="D13" s="9" t="n">
        <v>5.2</v>
      </c>
      <c r="E13" s="8" t="s">
        <v>37</v>
      </c>
    </row>
    <row r="14" customFormat="false" ht="15" hidden="false" customHeight="false" outlineLevel="0" collapsed="false">
      <c r="A14" s="3" t="s">
        <v>38</v>
      </c>
      <c r="B14" s="7" t="n">
        <v>62</v>
      </c>
      <c r="C14" s="7" t="n">
        <v>62</v>
      </c>
      <c r="D14" s="7" t="n">
        <v>62</v>
      </c>
      <c r="E14" s="8" t="s">
        <v>39</v>
      </c>
    </row>
    <row r="15" customFormat="false" ht="15" hidden="false" customHeight="false" outlineLevel="0" collapsed="false">
      <c r="A15" s="3" t="s">
        <v>40</v>
      </c>
      <c r="B15" s="10" t="n">
        <v>0.18</v>
      </c>
      <c r="C15" s="10" t="n">
        <v>0.18</v>
      </c>
      <c r="D15" s="10" t="n">
        <v>0.18</v>
      </c>
      <c r="E15" s="8" t="s">
        <v>41</v>
      </c>
    </row>
    <row r="16" customFormat="false" ht="15" hidden="false" customHeight="false" outlineLevel="0" collapsed="false">
      <c r="A16" s="3" t="s">
        <v>42</v>
      </c>
      <c r="B16" s="7" t="n">
        <v>12</v>
      </c>
      <c r="C16" s="7" t="n">
        <v>12</v>
      </c>
      <c r="D16" s="7" t="n">
        <v>12</v>
      </c>
      <c r="E16" s="8" t="s">
        <v>43</v>
      </c>
    </row>
    <row r="17" customFormat="false" ht="15" hidden="false" customHeight="false" outlineLevel="0" collapsed="false">
      <c r="A17" s="3" t="s">
        <v>44</v>
      </c>
      <c r="B17" s="9" t="n">
        <v>1.5</v>
      </c>
      <c r="C17" s="9" t="n">
        <v>1.5</v>
      </c>
      <c r="D17" s="9" t="n">
        <v>1.5</v>
      </c>
      <c r="E17" s="8" t="s">
        <v>45</v>
      </c>
    </row>
    <row r="18" customFormat="false" ht="15" hidden="false" customHeight="false" outlineLevel="0" collapsed="false">
      <c r="A18" s="3" t="s">
        <v>46</v>
      </c>
      <c r="B18" s="11" t="n">
        <v>0.33</v>
      </c>
      <c r="C18" s="11" t="n">
        <v>0.5</v>
      </c>
      <c r="D18" s="11" t="n">
        <v>0.67</v>
      </c>
      <c r="E18" s="8" t="s">
        <v>47</v>
      </c>
    </row>
    <row r="19" customFormat="false" ht="15" hidden="false" customHeight="false" outlineLevel="0" collapsed="false">
      <c r="A19" s="3" t="s">
        <v>48</v>
      </c>
      <c r="B19" s="11" t="n">
        <v>0.6</v>
      </c>
      <c r="C19" s="11" t="n">
        <v>0.75</v>
      </c>
      <c r="D19" s="11" t="n">
        <v>0.85</v>
      </c>
      <c r="E19" s="8" t="s">
        <v>49</v>
      </c>
    </row>
    <row r="20" customFormat="false" ht="15" hidden="false" customHeight="false" outlineLevel="0" collapsed="false">
      <c r="A20" s="3" t="s">
        <v>50</v>
      </c>
      <c r="B20" s="11" t="n">
        <v>0</v>
      </c>
      <c r="C20" s="11" t="n">
        <v>0.5</v>
      </c>
      <c r="D20" s="11" t="n">
        <v>0.67</v>
      </c>
      <c r="E20" s="8" t="s">
        <v>51</v>
      </c>
    </row>
    <row r="21" customFormat="false" ht="15" hidden="false" customHeight="false" outlineLevel="0" collapsed="false">
      <c r="A21" s="3" t="s">
        <v>52</v>
      </c>
      <c r="B21" s="12" t="n">
        <v>0</v>
      </c>
      <c r="C21" s="12" t="n">
        <v>20</v>
      </c>
      <c r="D21" s="12" t="n">
        <v>40</v>
      </c>
      <c r="E21" s="8" t="s">
        <v>53</v>
      </c>
    </row>
    <row r="22" customFormat="false" ht="15" hidden="false" customHeight="false" outlineLevel="0" collapsed="false">
      <c r="A22" s="3" t="s">
        <v>54</v>
      </c>
      <c r="B22" s="11" t="n">
        <v>0.08</v>
      </c>
      <c r="C22" s="11" t="n">
        <v>0.12</v>
      </c>
      <c r="D22" s="11" t="n">
        <v>0.16</v>
      </c>
      <c r="E22" s="8" t="s">
        <v>55</v>
      </c>
    </row>
    <row r="23" customFormat="false" ht="15" hidden="false" customHeight="false" outlineLevel="0" collapsed="false">
      <c r="A23" s="3" t="s">
        <v>56</v>
      </c>
      <c r="B23" s="11" t="n">
        <v>0</v>
      </c>
      <c r="C23" s="11" t="n">
        <v>0.04</v>
      </c>
      <c r="D23" s="11" t="n">
        <v>0.07</v>
      </c>
      <c r="E23" s="8" t="s">
        <v>57</v>
      </c>
    </row>
    <row r="24" customFormat="false" ht="15" hidden="false" customHeight="false" outlineLevel="0" collapsed="false">
      <c r="A24" s="3" t="s">
        <v>58</v>
      </c>
      <c r="B24" s="11" t="n">
        <v>0.05</v>
      </c>
      <c r="C24" s="11" t="n">
        <v>0.08</v>
      </c>
      <c r="D24" s="11" t="n">
        <v>0.1</v>
      </c>
      <c r="E24" s="8" t="s">
        <v>55</v>
      </c>
    </row>
    <row r="25" customFormat="false" ht="15" hidden="false" customHeight="false" outlineLevel="0" collapsed="false">
      <c r="A25" s="3" t="s">
        <v>59</v>
      </c>
      <c r="B25" s="7" t="n">
        <v>9</v>
      </c>
      <c r="C25" s="7" t="n">
        <v>9</v>
      </c>
      <c r="D25" s="7" t="n">
        <v>9</v>
      </c>
      <c r="E25" s="8" t="s">
        <v>60</v>
      </c>
    </row>
    <row r="27" customFormat="false" ht="15" hidden="false" customHeight="false" outlineLevel="0" collapsed="false">
      <c r="A27" s="1" t="s">
        <v>61</v>
      </c>
    </row>
    <row r="28" customFormat="false" ht="15" hidden="false" customHeight="false" outlineLevel="0" collapsed="false">
      <c r="A28" s="3" t="s">
        <v>62</v>
      </c>
      <c r="B28" s="13" t="n">
        <v>480</v>
      </c>
      <c r="E28" s="8" t="s">
        <v>63</v>
      </c>
    </row>
    <row r="29" customFormat="false" ht="15" hidden="false" customHeight="false" outlineLevel="0" collapsed="false">
      <c r="A29" s="3" t="s">
        <v>64</v>
      </c>
      <c r="B29" s="13" t="n">
        <v>22</v>
      </c>
      <c r="E29" s="8" t="s">
        <v>63</v>
      </c>
    </row>
    <row r="30" customFormat="false" ht="15" hidden="false" customHeight="false" outlineLevel="0" collapsed="false">
      <c r="A30" s="3" t="s">
        <v>65</v>
      </c>
      <c r="B30" s="13" t="n">
        <v>140</v>
      </c>
      <c r="E30" s="8" t="s">
        <v>63</v>
      </c>
    </row>
    <row r="31" customFormat="false" ht="15" hidden="false" customHeight="false" outlineLevel="0" collapsed="false">
      <c r="A31" s="3" t="s">
        <v>66</v>
      </c>
      <c r="B31" s="13" t="n">
        <v>60</v>
      </c>
      <c r="E31" s="8" t="s">
        <v>63</v>
      </c>
    </row>
    <row r="32" customFormat="false" ht="15" hidden="false" customHeight="false" outlineLevel="0" collapsed="false">
      <c r="A32" s="3" t="s">
        <v>67</v>
      </c>
      <c r="B32" s="13" t="n">
        <v>448</v>
      </c>
      <c r="E32" s="8" t="s">
        <v>63</v>
      </c>
    </row>
    <row r="33" customFormat="false" ht="15" hidden="false" customHeight="false" outlineLevel="0" collapsed="false">
      <c r="A33" s="1" t="s">
        <v>68</v>
      </c>
      <c r="B33" s="14" t="n">
        <f aca="false">SUM(B28:B32)</f>
        <v>1150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54"/>
  </cols>
  <sheetData>
    <row r="1" customFormat="false" ht="16.15" hidden="false" customHeight="false" outlineLevel="0" collapsed="false">
      <c r="A1" s="4" t="s">
        <v>69</v>
      </c>
    </row>
    <row r="2" customFormat="false" ht="15" hidden="false" customHeight="false" outlineLevel="0" collapsed="false">
      <c r="A2" s="5" t="s">
        <v>70</v>
      </c>
    </row>
    <row r="4" customFormat="false" ht="35.05" hidden="false" customHeight="false" outlineLevel="0" collapsed="false">
      <c r="A4" s="6" t="s">
        <v>71</v>
      </c>
      <c r="B4" s="6" t="s">
        <v>72</v>
      </c>
      <c r="C4" s="6" t="s">
        <v>73</v>
      </c>
      <c r="D4" s="6" t="s">
        <v>74</v>
      </c>
      <c r="E4" s="6" t="s">
        <v>19</v>
      </c>
    </row>
    <row r="5" customFormat="false" ht="15" hidden="false" customHeight="false" outlineLevel="0" collapsed="false">
      <c r="A5" s="3" t="s">
        <v>75</v>
      </c>
      <c r="C5" s="15" t="n">
        <v>200</v>
      </c>
      <c r="E5" s="8" t="s">
        <v>76</v>
      </c>
    </row>
    <row r="6" customFormat="false" ht="15" hidden="false" customHeight="false" outlineLevel="0" collapsed="false">
      <c r="A6" s="3" t="s">
        <v>77</v>
      </c>
      <c r="B6" s="16" t="n">
        <f aca="false">Inputs!$B$29+Inputs!$B$30</f>
        <v>162</v>
      </c>
      <c r="C6" s="17" t="n">
        <f aca="false">B6+Inputs!$B$31+C5</f>
        <v>422</v>
      </c>
      <c r="D6" s="17" t="n">
        <f aca="false">B6+Inputs!$B$31+Inputs!$B$32</f>
        <v>670</v>
      </c>
    </row>
    <row r="7" customFormat="false" ht="15" hidden="false" customHeight="false" outlineLevel="0" collapsed="false">
      <c r="A7" s="3" t="s">
        <v>78</v>
      </c>
      <c r="B7" s="18" t="n">
        <v>12500</v>
      </c>
      <c r="C7" s="18" t="n">
        <v>12500</v>
      </c>
      <c r="D7" s="18" t="n">
        <v>12500</v>
      </c>
      <c r="E7" s="8" t="s">
        <v>79</v>
      </c>
    </row>
    <row r="8" customFormat="false" ht="15" hidden="false" customHeight="false" outlineLevel="0" collapsed="false">
      <c r="A8" s="3" t="s">
        <v>80</v>
      </c>
      <c r="B8" s="18" t="n">
        <v>11000</v>
      </c>
      <c r="C8" s="18" t="n">
        <v>11000</v>
      </c>
      <c r="D8" s="18" t="n">
        <v>11000</v>
      </c>
      <c r="E8" s="8" t="s">
        <v>81</v>
      </c>
    </row>
    <row r="9" customFormat="false" ht="15" hidden="false" customHeight="false" outlineLevel="0" collapsed="false">
      <c r="A9" s="3" t="s">
        <v>82</v>
      </c>
      <c r="B9" s="18" t="n">
        <v>150</v>
      </c>
      <c r="C9" s="19" t="n">
        <v>1.2</v>
      </c>
      <c r="E9" s="8" t="s">
        <v>83</v>
      </c>
    </row>
    <row r="10" customFormat="false" ht="15" hidden="false" customHeight="false" outlineLevel="0" collapsed="false">
      <c r="A10" s="3" t="s">
        <v>84</v>
      </c>
      <c r="B10" s="19" t="n">
        <v>6</v>
      </c>
      <c r="E10" s="8" t="s">
        <v>83</v>
      </c>
    </row>
    <row r="11" customFormat="false" ht="15" hidden="false" customHeight="false" outlineLevel="0" collapsed="false">
      <c r="A11" s="3" t="s">
        <v>85</v>
      </c>
      <c r="B11" s="20" t="n">
        <v>8</v>
      </c>
      <c r="E11" s="8" t="s">
        <v>86</v>
      </c>
    </row>
    <row r="13" customFormat="false" ht="15" hidden="false" customHeight="false" outlineLevel="0" collapsed="false">
      <c r="A13" s="1" t="s">
        <v>87</v>
      </c>
      <c r="B13" s="21" t="n">
        <f aca="false">B6*B7/10000000</f>
        <v>0.2025</v>
      </c>
      <c r="C13" s="21" t="n">
        <f aca="false">C6*C7/10000000</f>
        <v>0.5275</v>
      </c>
      <c r="D13" s="21" t="n">
        <f aca="false">D6*D7/10000000</f>
        <v>0.8375</v>
      </c>
    </row>
    <row r="14" customFormat="false" ht="15" hidden="false" customHeight="false" outlineLevel="0" collapsed="false">
      <c r="A14" s="3" t="s">
        <v>88</v>
      </c>
      <c r="B14" s="22" t="n">
        <f aca="false">(B6*B8+ROUNDUP(B6/$B$9,0)*$C$9*100000+$B$10*100000+$B$11*100000)/10000000</f>
        <v>0.3422</v>
      </c>
      <c r="C14" s="22" t="n">
        <f aca="false">(C6*C8+ROUNDUP(C6/$B$9,0)*$C$9*100000+$B$10*100000+$B$11*100000)/10000000</f>
        <v>0.6402</v>
      </c>
      <c r="D14" s="22" t="n">
        <f aca="false">(D6*D8+ROUNDUP(D6/$B$9,0)*$C$9*100000+$B$10*100000+$B$11*100000)/10000000</f>
        <v>0.937</v>
      </c>
    </row>
    <row r="15" customFormat="false" ht="15" hidden="false" customHeight="false" outlineLevel="0" collapsed="false">
      <c r="A15" s="3" t="s">
        <v>89</v>
      </c>
      <c r="B15" s="22" t="n">
        <f aca="false">B13+B14</f>
        <v>0.5447</v>
      </c>
      <c r="C15" s="22" t="n">
        <f aca="false">C13+C14</f>
        <v>1.1677</v>
      </c>
      <c r="D15" s="22" t="n">
        <f aca="false">D13+D14</f>
        <v>1.7745</v>
      </c>
    </row>
    <row r="16" customFormat="false" ht="15" hidden="false" customHeight="false" outlineLevel="0" collapsed="false">
      <c r="A16" s="3" t="s">
        <v>90</v>
      </c>
      <c r="B16" s="22" t="n">
        <f aca="false">PMT(10%/12,36,-B14)*12</f>
        <v>0.132501977492774</v>
      </c>
      <c r="C16" s="22" t="n">
        <f aca="false">PMT(10%/12,36,-C14)*12</f>
        <v>0.247889438897937</v>
      </c>
      <c r="D16" s="22" t="n">
        <f aca="false">PMT(10%/12,36,-D14)*12</f>
        <v>0.362812252807509</v>
      </c>
    </row>
    <row r="17" customFormat="false" ht="15" hidden="false" customHeight="false" outlineLevel="0" collapsed="false">
      <c r="A17" s="1" t="s">
        <v>91</v>
      </c>
      <c r="B17" s="21" t="n">
        <f aca="false">B13+B16</f>
        <v>0.335001977492774</v>
      </c>
      <c r="C17" s="21" t="n">
        <f aca="false">C13+C16</f>
        <v>0.775389438897937</v>
      </c>
      <c r="D17" s="21" t="n">
        <f aca="false">D13+D16</f>
        <v>1.20031225280751</v>
      </c>
    </row>
    <row r="18" customFormat="false" ht="15" hidden="false" customHeight="false" outlineLevel="0" collapsed="false">
      <c r="A18" s="3" t="s">
        <v>92</v>
      </c>
      <c r="B18" s="1" t="str">
        <f aca="false">IF(B17&lt;=Inputs!$B$17,"Yes","No: committee")</f>
        <v>Yes</v>
      </c>
      <c r="C18" s="1" t="str">
        <f aca="false">IF(C17&lt;=Inputs!$B$17,"Yes","No: committee")</f>
        <v>Yes</v>
      </c>
      <c r="D18" s="1" t="str">
        <f aca="false">IF(D17&lt;=Inputs!$B$17,"Yes","No: committee")</f>
        <v>Yes</v>
      </c>
    </row>
    <row r="20" customFormat="false" ht="15" hidden="false" customHeight="false" outlineLevel="0" collapsed="false">
      <c r="A20" s="3" t="s">
        <v>93</v>
      </c>
      <c r="B20" s="23" t="n">
        <v>0.25</v>
      </c>
      <c r="E20" s="8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4" t="s">
        <v>95</v>
      </c>
    </row>
    <row r="2" customFormat="false" ht="15" hidden="false" customHeight="false" outlineLevel="0" collapsed="false">
      <c r="A2" s="5" t="s">
        <v>96</v>
      </c>
    </row>
    <row r="4" customFormat="false" ht="15" hidden="false" customHeight="false" outlineLevel="0" collapsed="false">
      <c r="A4" s="6" t="s">
        <v>97</v>
      </c>
      <c r="B4" s="6" t="s">
        <v>98</v>
      </c>
      <c r="C4" s="6" t="s">
        <v>99</v>
      </c>
      <c r="D4" s="6" t="s">
        <v>100</v>
      </c>
      <c r="E4" s="6" t="s">
        <v>101</v>
      </c>
      <c r="F4" s="6" t="s">
        <v>102</v>
      </c>
      <c r="G4" s="6" t="s">
        <v>103</v>
      </c>
      <c r="H4" s="6" t="s">
        <v>104</v>
      </c>
      <c r="I4" s="6" t="s">
        <v>105</v>
      </c>
      <c r="J4" s="6" t="s">
        <v>106</v>
      </c>
    </row>
    <row r="5" customFormat="false" ht="15" hidden="false" customHeight="false" outlineLevel="0" collapsed="false">
      <c r="A5" s="3" t="s">
        <v>107</v>
      </c>
      <c r="B5" s="22" t="n">
        <f aca="false">Inputs!$B$5*Inputs!$B$6*Inputs!$B$19*Inputs!$B$18*Inputs!$B$7/100</f>
        <v>1.17612</v>
      </c>
      <c r="C5" s="22" t="n">
        <f aca="false">Inputs!$C$5*Inputs!$C$6*Inputs!$C$19*Inputs!$C$18*Inputs!$C$7/100</f>
        <v>2.97</v>
      </c>
      <c r="D5" s="22" t="n">
        <f aca="false">Inputs!$D$5*Inputs!$D$6*Inputs!$D$19*Inputs!$D$18*Inputs!$D$7/100</f>
        <v>5.63805</v>
      </c>
      <c r="E5" s="22" t="n">
        <f aca="false">Inputs!$B$5*Inputs!$B$6*Inputs!$B$19*Inputs!$B$18*Inputs!$B$7/100</f>
        <v>1.17612</v>
      </c>
      <c r="F5" s="22" t="n">
        <f aca="false">Inputs!$C$5*Inputs!$C$6*Inputs!$C$19*Inputs!$C$18*Inputs!$C$7/100</f>
        <v>2.97</v>
      </c>
      <c r="G5" s="22" t="n">
        <f aca="false">Inputs!$D$5*Inputs!$D$6*Inputs!$D$19*Inputs!$D$18*Inputs!$D$7/100</f>
        <v>5.63805</v>
      </c>
      <c r="H5" s="22" t="n">
        <f aca="false">Inputs!$B$5*Inputs!$B$6*Inputs!$B$19*Inputs!$B$18*Inputs!$B$7/100</f>
        <v>1.17612</v>
      </c>
      <c r="I5" s="22" t="n">
        <f aca="false">Inputs!$C$5*Inputs!$C$6*Inputs!$C$19*Inputs!$C$18*Inputs!$C$7/100</f>
        <v>2.97</v>
      </c>
      <c r="J5" s="22" t="n">
        <f aca="false">Inputs!$D$5*Inputs!$D$6*Inputs!$D$19*Inputs!$D$18*Inputs!$D$7/100</f>
        <v>5.63805</v>
      </c>
    </row>
    <row r="6" customFormat="false" ht="15" hidden="false" customHeight="false" outlineLevel="0" collapsed="false">
      <c r="A6" s="3" t="s">
        <v>108</v>
      </c>
      <c r="B6" s="22" t="n">
        <f aca="false">Inputs!$B$10*Inputs!$B$9*Inputs!$B$20*Inputs!$B$18/100</f>
        <v>0</v>
      </c>
      <c r="C6" s="22" t="n">
        <f aca="false">Inputs!$C$10*Inputs!$C$9*Inputs!$C$20*Inputs!$C$18/100</f>
        <v>0.3</v>
      </c>
      <c r="D6" s="22" t="n">
        <f aca="false">Inputs!$D$10*Inputs!$D$9*Inputs!$D$20*Inputs!$D$18/100</f>
        <v>0.53868</v>
      </c>
      <c r="E6" s="22" t="n">
        <f aca="false">Inputs!$B$10*Inputs!$B$9*Inputs!$B$20*Inputs!$B$18/100</f>
        <v>0</v>
      </c>
      <c r="F6" s="22" t="n">
        <f aca="false">Inputs!$C$10*Inputs!$C$9*Inputs!$C$20*Inputs!$C$18/100</f>
        <v>0.3</v>
      </c>
      <c r="G6" s="22" t="n">
        <f aca="false">Inputs!$D$10*Inputs!$D$9*Inputs!$D$20*Inputs!$D$18/100</f>
        <v>0.53868</v>
      </c>
      <c r="H6" s="22" t="n">
        <f aca="false">Inputs!$B$10*Inputs!$B$9*Inputs!$B$20*Inputs!$B$18/100</f>
        <v>0</v>
      </c>
      <c r="I6" s="22" t="n">
        <f aca="false">Inputs!$C$10*Inputs!$C$9*Inputs!$C$20*Inputs!$C$18/100</f>
        <v>0.3</v>
      </c>
      <c r="J6" s="22" t="n">
        <f aca="false">Inputs!$D$10*Inputs!$D$9*Inputs!$D$20*Inputs!$D$18/100</f>
        <v>0.53868</v>
      </c>
    </row>
    <row r="7" customFormat="false" ht="15" hidden="false" customHeight="false" outlineLevel="0" collapsed="false">
      <c r="A7" s="3" t="s">
        <v>109</v>
      </c>
      <c r="B7" s="22" t="n">
        <f aca="false">0</f>
        <v>0</v>
      </c>
      <c r="C7" s="22" t="n">
        <f aca="false">0</f>
        <v>0</v>
      </c>
      <c r="D7" s="22" t="n">
        <f aca="false">0</f>
        <v>0</v>
      </c>
      <c r="E7" s="22" t="n">
        <f aca="false">Inputs!$B$21*Inputs!$B$8/100*1</f>
        <v>0</v>
      </c>
      <c r="F7" s="22" t="n">
        <f aca="false">Inputs!$C$21*Inputs!$C$8/100*1</f>
        <v>0.48</v>
      </c>
      <c r="G7" s="22" t="n">
        <f aca="false">Inputs!$D$21*Inputs!$D$8/100*1</f>
        <v>0.96</v>
      </c>
      <c r="H7" s="22" t="n">
        <f aca="false">Inputs!$B$21*Inputs!$B$8/100*1.3</f>
        <v>0</v>
      </c>
      <c r="I7" s="22" t="n">
        <f aca="false">Inputs!$C$21*Inputs!$C$8/100*1.3</f>
        <v>0.624</v>
      </c>
      <c r="J7" s="22" t="n">
        <f aca="false">Inputs!$D$21*Inputs!$D$8/100*1.3</f>
        <v>1.248</v>
      </c>
    </row>
    <row r="8" customFormat="false" ht="15" hidden="false" customHeight="false" outlineLevel="0" collapsed="false">
      <c r="A8" s="3" t="s">
        <v>110</v>
      </c>
      <c r="B8" s="22" t="n">
        <f aca="false">Inputs!$B$11*Inputs!$B$12*B14*Inputs!$B$22</f>
        <v>0.0715</v>
      </c>
      <c r="C8" s="22" t="n">
        <f aca="false">Inputs!$C$11*Inputs!$C$12*C14*Inputs!$C$22</f>
        <v>0.10725</v>
      </c>
      <c r="D8" s="22" t="n">
        <f aca="false">Inputs!$D$11*Inputs!$D$12*D14*Inputs!$D$22</f>
        <v>0.143</v>
      </c>
      <c r="E8" s="22" t="n">
        <f aca="false">Inputs!$B$11*Inputs!$B$12*E14*Inputs!$B$22</f>
        <v>0.1287</v>
      </c>
      <c r="F8" s="22" t="n">
        <f aca="false">Inputs!$C$11*Inputs!$C$12*F14*Inputs!$C$22</f>
        <v>0.19305</v>
      </c>
      <c r="G8" s="22" t="n">
        <f aca="false">Inputs!$D$11*Inputs!$D$12*G14*Inputs!$D$22</f>
        <v>0.2574</v>
      </c>
      <c r="H8" s="22" t="n">
        <f aca="false">Inputs!$B$11*Inputs!$B$12*H14*Inputs!$B$22</f>
        <v>0.1716</v>
      </c>
      <c r="I8" s="22" t="n">
        <f aca="false">Inputs!$C$11*Inputs!$C$12*I14*Inputs!$C$22</f>
        <v>0.2574</v>
      </c>
      <c r="J8" s="22" t="n">
        <f aca="false">Inputs!$D$11*Inputs!$D$12*J14*Inputs!$D$22</f>
        <v>0.3432</v>
      </c>
    </row>
    <row r="9" customFormat="false" ht="15" hidden="false" customHeight="false" outlineLevel="0" collapsed="false">
      <c r="A9" s="3" t="s">
        <v>111</v>
      </c>
      <c r="B9" s="22" t="n">
        <f aca="false">0</f>
        <v>0</v>
      </c>
      <c r="C9" s="22" t="n">
        <f aca="false">0</f>
        <v>0</v>
      </c>
      <c r="D9" s="22" t="n">
        <f aca="false">0</f>
        <v>0</v>
      </c>
      <c r="E9" s="22" t="n">
        <f aca="false">Inputs!$B$14/Inputs!$B$25*Inputs!$B$15*Inputs!$B$23</f>
        <v>0</v>
      </c>
      <c r="F9" s="22" t="n">
        <f aca="false">Inputs!$C$14/Inputs!$C$25*Inputs!$C$15*Inputs!$C$23</f>
        <v>0.0496</v>
      </c>
      <c r="G9" s="22" t="n">
        <f aca="false">Inputs!$D$14/Inputs!$D$25*Inputs!$D$15*Inputs!$D$23</f>
        <v>0.0868</v>
      </c>
      <c r="H9" s="22" t="n">
        <f aca="false">Inputs!$B$14/Inputs!$B$25*Inputs!$B$15*Inputs!$B$23</f>
        <v>0</v>
      </c>
      <c r="I9" s="22" t="n">
        <f aca="false">Inputs!$C$14/Inputs!$C$25*Inputs!$C$15*Inputs!$C$23</f>
        <v>0.0496</v>
      </c>
      <c r="J9" s="22" t="n">
        <f aca="false">Inputs!$D$14/Inputs!$D$25*Inputs!$D$15*Inputs!$D$23</f>
        <v>0.0868</v>
      </c>
    </row>
    <row r="10" customFormat="false" ht="15" hidden="false" customHeight="false" outlineLevel="0" collapsed="false">
      <c r="A10" s="1" t="s">
        <v>112</v>
      </c>
      <c r="B10" s="21" t="n">
        <f aca="false">SUM(B5:B9)</f>
        <v>1.24762</v>
      </c>
      <c r="C10" s="21" t="n">
        <f aca="false">SUM(C5:C9)</f>
        <v>3.37725</v>
      </c>
      <c r="D10" s="21" t="n">
        <f aca="false">SUM(D5:D9)</f>
        <v>6.31973</v>
      </c>
      <c r="E10" s="21" t="n">
        <f aca="false">SUM(E5:E9)</f>
        <v>1.30482</v>
      </c>
      <c r="F10" s="21" t="n">
        <f aca="false">SUM(F5:F9)</f>
        <v>3.99265</v>
      </c>
      <c r="G10" s="21" t="n">
        <f aca="false">SUM(G5:G9)</f>
        <v>7.48093</v>
      </c>
      <c r="H10" s="21" t="n">
        <f aca="false">SUM(H5:H9)</f>
        <v>1.34772</v>
      </c>
      <c r="I10" s="21" t="n">
        <f aca="false">SUM(I5:I9)</f>
        <v>4.201</v>
      </c>
      <c r="J10" s="21" t="n">
        <f aca="false">SUM(J5:J9)</f>
        <v>7.85473</v>
      </c>
    </row>
    <row r="12" customFormat="false" ht="15" hidden="false" customHeight="false" outlineLevel="0" collapsed="false">
      <c r="A12" s="3" t="s">
        <v>113</v>
      </c>
      <c r="B12" s="22" t="n">
        <f aca="false">Inputs!$B$13*B15*Inputs!$B$24</f>
        <v>0.052</v>
      </c>
      <c r="C12" s="22" t="n">
        <f aca="false">Inputs!$C$13*C15*Inputs!$C$24</f>
        <v>0.0832</v>
      </c>
      <c r="D12" s="22" t="n">
        <f aca="false">Inputs!$D$13*D15*Inputs!$D$24</f>
        <v>0.104</v>
      </c>
      <c r="E12" s="22" t="n">
        <f aca="false">Inputs!$B$13*E15*Inputs!$B$24</f>
        <v>0.091</v>
      </c>
      <c r="F12" s="22" t="n">
        <f aca="false">Inputs!$C$13*F15*Inputs!$C$24</f>
        <v>0.1456</v>
      </c>
      <c r="G12" s="22" t="n">
        <f aca="false">Inputs!$D$13*G15*Inputs!$D$24</f>
        <v>0.182</v>
      </c>
      <c r="H12" s="22" t="n">
        <f aca="false">Inputs!$B$13*H15*Inputs!$B$24</f>
        <v>0.13</v>
      </c>
      <c r="I12" s="22" t="n">
        <f aca="false">Inputs!$C$13*I15*Inputs!$C$24</f>
        <v>0.208</v>
      </c>
      <c r="J12" s="22" t="n">
        <f aca="false">Inputs!$D$13*J15*Inputs!$D$24</f>
        <v>0.26</v>
      </c>
    </row>
    <row r="14" customFormat="false" ht="15" hidden="false" customHeight="false" outlineLevel="0" collapsed="false">
      <c r="A14" s="3" t="s">
        <v>114</v>
      </c>
      <c r="B14" s="11" t="n">
        <v>0.25</v>
      </c>
      <c r="C14" s="11" t="n">
        <v>0.25</v>
      </c>
      <c r="D14" s="11" t="n">
        <v>0.25</v>
      </c>
      <c r="E14" s="11" t="n">
        <v>0.45</v>
      </c>
      <c r="F14" s="11" t="n">
        <v>0.45</v>
      </c>
      <c r="G14" s="11" t="n">
        <v>0.45</v>
      </c>
      <c r="H14" s="11" t="n">
        <v>0.6</v>
      </c>
      <c r="I14" s="11" t="n">
        <v>0.6</v>
      </c>
      <c r="J14" s="11" t="n">
        <v>0.6</v>
      </c>
    </row>
    <row r="15" customFormat="false" ht="15" hidden="false" customHeight="false" outlineLevel="0" collapsed="false">
      <c r="A15" s="3" t="s">
        <v>115</v>
      </c>
      <c r="B15" s="11" t="n">
        <v>0.2</v>
      </c>
      <c r="C15" s="11" t="n">
        <v>0.2</v>
      </c>
      <c r="D15" s="11" t="n">
        <v>0.2</v>
      </c>
      <c r="E15" s="11" t="n">
        <v>0.35</v>
      </c>
      <c r="F15" s="11" t="n">
        <v>0.35</v>
      </c>
      <c r="G15" s="11" t="n">
        <v>0.35</v>
      </c>
      <c r="H15" s="11" t="n">
        <v>0.5</v>
      </c>
      <c r="I15" s="11" t="n">
        <v>0.5</v>
      </c>
      <c r="J15" s="11" t="n">
        <v>0.5</v>
      </c>
    </row>
    <row r="17" customFormat="false" ht="15" hidden="false" customHeight="false" outlineLevel="0" collapsed="false">
      <c r="A17" s="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4" t="s">
        <v>117</v>
      </c>
    </row>
    <row r="2" customFormat="false" ht="15" hidden="false" customHeight="false" outlineLevel="0" collapsed="false">
      <c r="A2" s="5" t="s">
        <v>118</v>
      </c>
    </row>
    <row r="4" customFormat="false" ht="15" hidden="false" customHeight="false" outlineLevel="0" collapsed="false">
      <c r="A4" s="6" t="s">
        <v>119</v>
      </c>
      <c r="B4" s="6" t="s">
        <v>98</v>
      </c>
      <c r="C4" s="6" t="s">
        <v>99</v>
      </c>
      <c r="D4" s="6" t="s">
        <v>100</v>
      </c>
      <c r="E4" s="6" t="s">
        <v>101</v>
      </c>
      <c r="F4" s="6" t="s">
        <v>102</v>
      </c>
      <c r="G4" s="6" t="s">
        <v>103</v>
      </c>
      <c r="H4" s="6" t="s">
        <v>104</v>
      </c>
      <c r="I4" s="6" t="s">
        <v>105</v>
      </c>
      <c r="J4" s="6" t="s">
        <v>106</v>
      </c>
    </row>
    <row r="5" customFormat="false" ht="15" hidden="false" customHeight="false" outlineLevel="0" collapsed="false">
      <c r="A5" s="3" t="s">
        <v>120</v>
      </c>
      <c r="B5" s="24" t="n">
        <f aca="false">Value!B10</f>
        <v>1.24762</v>
      </c>
      <c r="C5" s="24" t="n">
        <f aca="false">Value!C10</f>
        <v>3.37725</v>
      </c>
      <c r="D5" s="24" t="n">
        <f aca="false">Value!D10</f>
        <v>6.31973</v>
      </c>
      <c r="E5" s="24" t="n">
        <f aca="false">Value!E10</f>
        <v>1.30482</v>
      </c>
      <c r="F5" s="24" t="n">
        <f aca="false">Value!F10</f>
        <v>3.99265</v>
      </c>
      <c r="G5" s="24" t="n">
        <f aca="false">Value!G10</f>
        <v>7.48093</v>
      </c>
      <c r="H5" s="24" t="n">
        <f aca="false">Value!H10</f>
        <v>1.34772</v>
      </c>
      <c r="I5" s="24" t="n">
        <f aca="false">Value!I10</f>
        <v>4.201</v>
      </c>
      <c r="J5" s="24" t="n">
        <f aca="false">Value!J10</f>
        <v>7.85473</v>
      </c>
    </row>
    <row r="6" customFormat="false" ht="15" hidden="false" customHeight="false" outlineLevel="0" collapsed="false">
      <c r="A6" s="3" t="s">
        <v>121</v>
      </c>
      <c r="B6" s="24" t="n">
        <f aca="false">Scope_Price!B17</f>
        <v>0.335001977492774</v>
      </c>
      <c r="C6" s="24" t="n">
        <f aca="false">Scope_Price!B17</f>
        <v>0.335001977492774</v>
      </c>
      <c r="D6" s="24" t="n">
        <f aca="false">Scope_Price!B17</f>
        <v>0.335001977492774</v>
      </c>
      <c r="E6" s="24" t="n">
        <f aca="false">Scope_Price!C17</f>
        <v>0.775389438897937</v>
      </c>
      <c r="F6" s="24" t="n">
        <f aca="false">Scope_Price!C17</f>
        <v>0.775389438897937</v>
      </c>
      <c r="G6" s="24" t="n">
        <f aca="false">Scope_Price!C17</f>
        <v>0.775389438897937</v>
      </c>
      <c r="H6" s="24" t="n">
        <f aca="false">Scope_Price!D17</f>
        <v>1.20031225280751</v>
      </c>
      <c r="I6" s="24" t="n">
        <f aca="false">Scope_Price!D17</f>
        <v>1.20031225280751</v>
      </c>
      <c r="J6" s="24" t="n">
        <f aca="false">Scope_Price!D17</f>
        <v>1.20031225280751</v>
      </c>
    </row>
    <row r="7" customFormat="false" ht="15" hidden="false" customHeight="false" outlineLevel="0" collapsed="false">
      <c r="A7" s="3" t="s">
        <v>122</v>
      </c>
      <c r="B7" s="22" t="n">
        <f aca="false">B5-B6</f>
        <v>0.912618022507226</v>
      </c>
      <c r="C7" s="22" t="n">
        <f aca="false">C5-C6</f>
        <v>3.04224802250723</v>
      </c>
      <c r="D7" s="22" t="n">
        <f aca="false">D5-D6</f>
        <v>5.98472802250723</v>
      </c>
      <c r="E7" s="22" t="n">
        <f aca="false">E5-E6</f>
        <v>0.529430561102063</v>
      </c>
      <c r="F7" s="22" t="n">
        <f aca="false">F5-F6</f>
        <v>3.21726056110206</v>
      </c>
      <c r="G7" s="22" t="n">
        <f aca="false">G5-G6</f>
        <v>6.70554056110206</v>
      </c>
      <c r="H7" s="22" t="n">
        <f aca="false">H5-H6</f>
        <v>0.147407747192491</v>
      </c>
      <c r="I7" s="22" t="n">
        <f aca="false">I5-I6</f>
        <v>3.00068774719249</v>
      </c>
      <c r="J7" s="22" t="n">
        <f aca="false">J5-J6</f>
        <v>6.65441774719249</v>
      </c>
    </row>
    <row r="8" customFormat="false" ht="15" hidden="false" customHeight="false" outlineLevel="0" collapsed="false">
      <c r="A8" s="1" t="s">
        <v>123</v>
      </c>
      <c r="B8" s="25" t="n">
        <f aca="false">IF(B5&gt;0,B6/B5*12,"n/a")</f>
        <v>3.22215396508015</v>
      </c>
      <c r="C8" s="25" t="n">
        <f aca="false">IF(C5&gt;0,C6/C5*12,"n/a")</f>
        <v>1.19032459246822</v>
      </c>
      <c r="D8" s="25" t="n">
        <f aca="false">IF(D5&gt;0,D6/D5*12,"n/a")</f>
        <v>0.636106879552337</v>
      </c>
      <c r="E8" s="25" t="n">
        <f aca="false">IF(E5&gt;0,E6/E5*12,"n/a")</f>
        <v>7.13100141534866</v>
      </c>
      <c r="F8" s="25" t="n">
        <f aca="false">IF(F5&gt;0,F6/F5*12,"n/a")</f>
        <v>2.33045051952344</v>
      </c>
      <c r="G8" s="25" t="n">
        <f aca="false">IF(G5&gt;0,G6/G5*12,"n/a")</f>
        <v>1.24378563451005</v>
      </c>
      <c r="H8" s="25" t="n">
        <f aca="false">IF(H5&gt;0,H6/H5*12,"n/a")</f>
        <v>10.687492234062</v>
      </c>
      <c r="I8" s="25" t="n">
        <f aca="false">IF(I5&gt;0,I6/I5*12,"n/a")</f>
        <v>3.42864723487029</v>
      </c>
      <c r="J8" s="25" t="n">
        <f aca="false">IF(J5&gt;0,J6/J5*12,"n/a")</f>
        <v>1.83376730119178</v>
      </c>
    </row>
    <row r="9" customFormat="false" ht="15" hidden="false" customHeight="false" outlineLevel="0" collapsed="false">
      <c r="A9" s="3" t="s">
        <v>124</v>
      </c>
      <c r="B9" s="26" t="n">
        <f aca="false">IF(B6&gt;0,B5/B6,0)</f>
        <v>3.72421682205416</v>
      </c>
      <c r="C9" s="26" t="n">
        <f aca="false">IF(C6&gt;0,C5/C6,0)</f>
        <v>10.0812837741319</v>
      </c>
      <c r="D9" s="26" t="n">
        <f aca="false">IF(D6&gt;0,D5/D6,0)</f>
        <v>18.8647543136855</v>
      </c>
      <c r="E9" s="26" t="n">
        <f aca="false">IF(E6&gt;0,E5/E6,0)</f>
        <v>1.6827931031077</v>
      </c>
      <c r="F9" s="26" t="n">
        <f aca="false">IF(F6&gt;0,F5/F6,0)</f>
        <v>5.1492189597975</v>
      </c>
      <c r="G9" s="26" t="n">
        <f aca="false">IF(G6&gt;0,G5/G6,0)</f>
        <v>9.64796478351919</v>
      </c>
      <c r="H9" s="26" t="n">
        <f aca="false">IF(H6&gt;0,H5/H6,0)</f>
        <v>1.1228078334181</v>
      </c>
      <c r="I9" s="26" t="n">
        <f aca="false">IF(I6&gt;0,I5/I6,0)</f>
        <v>3.49992261611421</v>
      </c>
      <c r="J9" s="26" t="n">
        <f aca="false">IF(J6&gt;0,J5/J6,0)</f>
        <v>6.54390553926941</v>
      </c>
    </row>
    <row r="10" customFormat="false" ht="15" hidden="false" customHeight="false" outlineLevel="0" collapsed="false">
      <c r="A10" s="1" t="s">
        <v>125</v>
      </c>
      <c r="B10" s="1" t="str">
        <f aca="false">IF(B8&lt;=Inputs!$B$16,"Yes","No")</f>
        <v>Yes</v>
      </c>
      <c r="E10" s="1" t="str">
        <f aca="false">IF(E8&lt;=Inputs!$B$16,"Yes","No")</f>
        <v>Yes</v>
      </c>
      <c r="H10" s="1" t="str">
        <f aca="false">IF(H8&lt;=Inputs!$B$16,"Yes","No")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4" t="s">
        <v>126</v>
      </c>
    </row>
    <row r="2" customFormat="false" ht="15" hidden="false" customHeight="false" outlineLevel="0" collapsed="false">
      <c r="A2" s="5" t="s">
        <v>127</v>
      </c>
    </row>
    <row r="4" customFormat="false" ht="15" hidden="false" customHeight="false" outlineLevel="0" collapsed="false">
      <c r="A4" s="6" t="s">
        <v>71</v>
      </c>
      <c r="B4" s="6" t="s">
        <v>128</v>
      </c>
      <c r="C4" s="6" t="s">
        <v>129</v>
      </c>
      <c r="D4" s="6" t="s">
        <v>130</v>
      </c>
      <c r="E4" s="6" t="s">
        <v>131</v>
      </c>
    </row>
    <row r="5" customFormat="false" ht="15" hidden="false" customHeight="false" outlineLevel="0" collapsed="false">
      <c r="A5" s="3" t="s">
        <v>132</v>
      </c>
      <c r="B5" s="16" t="n">
        <f aca="false">Scope_Price!B6</f>
        <v>162</v>
      </c>
      <c r="C5" s="16" t="n">
        <f aca="false">Scope_Price!B6</f>
        <v>162</v>
      </c>
      <c r="D5" s="16" t="n">
        <f aca="false">Scope_Price!B6</f>
        <v>162</v>
      </c>
    </row>
    <row r="6" customFormat="false" ht="15" hidden="false" customHeight="false" outlineLevel="0" collapsed="false">
      <c r="A6" s="3" t="s">
        <v>133</v>
      </c>
      <c r="B6" s="16" t="n">
        <f aca="false">Scope_Price!B7</f>
        <v>12500</v>
      </c>
      <c r="C6" s="18" t="n">
        <v>9500</v>
      </c>
      <c r="D6" s="18" t="n">
        <v>7800</v>
      </c>
      <c r="E6" s="8" t="s">
        <v>134</v>
      </c>
    </row>
    <row r="7" customFormat="false" ht="15" hidden="false" customHeight="false" outlineLevel="0" collapsed="false">
      <c r="A7" s="3" t="s">
        <v>135</v>
      </c>
      <c r="B7" s="27" t="n">
        <v>3</v>
      </c>
      <c r="C7" s="27" t="n">
        <v>2</v>
      </c>
      <c r="D7" s="27" t="n">
        <v>3</v>
      </c>
      <c r="E7" s="8" t="s">
        <v>136</v>
      </c>
    </row>
    <row r="8" customFormat="false" ht="15" hidden="false" customHeight="false" outlineLevel="0" collapsed="false">
      <c r="A8" s="3" t="s">
        <v>137</v>
      </c>
      <c r="B8" s="16" t="n">
        <f aca="false">Scope_Price!B8</f>
        <v>11000</v>
      </c>
      <c r="C8" s="18" t="n">
        <v>13000</v>
      </c>
      <c r="D8" s="18" t="n">
        <v>8000</v>
      </c>
      <c r="E8" s="8" t="s">
        <v>138</v>
      </c>
    </row>
    <row r="9" customFormat="false" ht="15" hidden="false" customHeight="false" outlineLevel="0" collapsed="false">
      <c r="A9" s="3" t="s">
        <v>139</v>
      </c>
      <c r="B9" s="24" t="n">
        <f aca="false">Scope_Price!B14-Scope_Price!B6*Scope_Price!B8/10000000</f>
        <v>0.164</v>
      </c>
      <c r="C9" s="23" t="n">
        <v>0.08</v>
      </c>
      <c r="D9" s="23" t="n">
        <v>0.1</v>
      </c>
      <c r="E9" s="8" t="s">
        <v>140</v>
      </c>
    </row>
    <row r="10" customFormat="false" ht="15" hidden="false" customHeight="false" outlineLevel="0" collapsed="false">
      <c r="A10" s="1" t="s">
        <v>141</v>
      </c>
      <c r="B10" s="21" t="n">
        <f aca="false">B5*B6*B7/10000000+B5*B8/10000000+B9</f>
        <v>0.9497</v>
      </c>
      <c r="C10" s="21" t="n">
        <f aca="false">C5*C6*C7/10000000+C5*C8/10000000+C9</f>
        <v>0.5984</v>
      </c>
      <c r="D10" s="21" t="n">
        <f aca="false">D5*D6*D7/10000000+D5*D8/10000000+D9</f>
        <v>0.60868</v>
      </c>
    </row>
    <row r="11" customFormat="false" ht="15" hidden="false" customHeight="false" outlineLevel="0" collapsed="false">
      <c r="A11" s="3" t="s">
        <v>142</v>
      </c>
      <c r="B11" s="28" t="n">
        <f aca="false">Inputs!$C$18</f>
        <v>0.5</v>
      </c>
      <c r="C11" s="11" t="n">
        <v>0.2</v>
      </c>
      <c r="D11" s="11" t="n">
        <v>0.3</v>
      </c>
      <c r="E11" s="8" t="s">
        <v>143</v>
      </c>
    </row>
    <row r="12" customFormat="false" ht="15" hidden="false" customHeight="false" outlineLevel="0" collapsed="false">
      <c r="A12" s="3" t="s">
        <v>144</v>
      </c>
      <c r="B12" s="22" t="n">
        <f aca="false">3*(Value!$C$5*B11/$B$11+Value!$C$6*B11/$B$11+Value!$C$8)</f>
        <v>10.13175</v>
      </c>
      <c r="C12" s="22" t="n">
        <f aca="false">3*(Value!$C$5*C11/$B$11+Value!$C$6*C11/$B$11+Value!$C$8)</f>
        <v>4.24575</v>
      </c>
      <c r="D12" s="22" t="n">
        <f aca="false">3*(Value!$C$5*D11/$B$11+Value!$C$6*D11/$B$11+Value!$C$8)</f>
        <v>6.20775</v>
      </c>
    </row>
    <row r="13" customFormat="false" ht="15" hidden="false" customHeight="false" outlineLevel="0" collapsed="false">
      <c r="A13" s="1" t="s">
        <v>145</v>
      </c>
      <c r="B13" s="21" t="n">
        <f aca="false">B12-B10</f>
        <v>9.18205</v>
      </c>
      <c r="C13" s="21" t="n">
        <f aca="false">C12-C10</f>
        <v>3.64735</v>
      </c>
      <c r="D13" s="21" t="n">
        <f aca="false">D12-D10</f>
        <v>5.59907</v>
      </c>
    </row>
    <row r="14" customFormat="false" ht="15" hidden="false" customHeight="false" outlineLevel="0" collapsed="false">
      <c r="A14" s="3" t="s">
        <v>146</v>
      </c>
      <c r="C14" s="22" t="n">
        <f aca="false">B10-C10</f>
        <v>0.3513</v>
      </c>
      <c r="D14" s="22" t="n">
        <f aca="false">B10-D10</f>
        <v>0.34102</v>
      </c>
    </row>
    <row r="15" customFormat="false" ht="15" hidden="false" customHeight="false" outlineLevel="0" collapsed="false">
      <c r="A15" s="3" t="s">
        <v>147</v>
      </c>
      <c r="C15" s="21" t="n">
        <f aca="false">B13-C13</f>
        <v>5.5347</v>
      </c>
      <c r="D15" s="21" t="n">
        <f aca="false">B13-D13</f>
        <v>3.58298</v>
      </c>
    </row>
    <row r="17" customFormat="false" ht="39.75" hidden="false" customHeight="true" outlineLevel="0" collapsed="false">
      <c r="A17" s="29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4" t="s">
        <v>149</v>
      </c>
    </row>
    <row r="2" customFormat="false" ht="15" hidden="false" customHeight="false" outlineLevel="0" collapsed="false">
      <c r="A2" s="5" t="s">
        <v>150</v>
      </c>
    </row>
    <row r="4" customFormat="false" ht="15" hidden="false" customHeight="false" outlineLevel="0" collapsed="false">
      <c r="A4" s="6" t="s">
        <v>151</v>
      </c>
      <c r="B4" s="6" t="s">
        <v>152</v>
      </c>
      <c r="C4" s="6" t="s">
        <v>153</v>
      </c>
    </row>
    <row r="5" customFormat="false" ht="15" hidden="false" customHeight="false" outlineLevel="0" collapsed="false">
      <c r="A5" s="3" t="s">
        <v>154</v>
      </c>
      <c r="B5" s="30" t="n">
        <v>0.08</v>
      </c>
      <c r="C5" s="3" t="s">
        <v>155</v>
      </c>
    </row>
    <row r="6" customFormat="false" ht="15" hidden="false" customHeight="false" outlineLevel="0" collapsed="false">
      <c r="A6" s="3" t="s">
        <v>156</v>
      </c>
      <c r="B6" s="30" t="n">
        <v>0.03</v>
      </c>
      <c r="C6" s="3" t="s">
        <v>157</v>
      </c>
    </row>
    <row r="7" customFormat="false" ht="15" hidden="false" customHeight="false" outlineLevel="0" collapsed="false">
      <c r="A7" s="3" t="s">
        <v>158</v>
      </c>
      <c r="B7" s="30" t="n">
        <v>0.05</v>
      </c>
      <c r="C7" s="3" t="s">
        <v>159</v>
      </c>
    </row>
    <row r="8" customFormat="false" ht="15" hidden="false" customHeight="false" outlineLevel="0" collapsed="false">
      <c r="A8" s="3" t="s">
        <v>160</v>
      </c>
      <c r="B8" s="30" t="n">
        <v>0.02</v>
      </c>
      <c r="C8" s="3" t="s">
        <v>161</v>
      </c>
    </row>
    <row r="9" customFormat="false" ht="15" hidden="false" customHeight="false" outlineLevel="0" collapsed="false">
      <c r="A9" s="1" t="s">
        <v>162</v>
      </c>
      <c r="B9" s="31" t="n">
        <f aca="false">MIN(0.15,SUM(B5:B8))</f>
        <v>0.15</v>
      </c>
      <c r="C9" s="8" t="s">
        <v>163</v>
      </c>
    </row>
    <row r="10" customFormat="false" ht="15" hidden="false" customHeight="false" outlineLevel="0" collapsed="false">
      <c r="A10" s="1" t="s">
        <v>164</v>
      </c>
      <c r="B10" s="14" t="n">
        <f aca="false">Scope_Price!B7*(1-B9)</f>
        <v>10625</v>
      </c>
    </row>
    <row r="12" customFormat="false" ht="35.05" hidden="false" customHeight="false" outlineLevel="0" collapsed="false">
      <c r="A12" s="1" t="s">
        <v>165</v>
      </c>
      <c r="C12" s="32" t="s">
        <v>166</v>
      </c>
    </row>
    <row r="14" customFormat="false" ht="35.05" hidden="false" customHeight="false" outlineLevel="0" collapsed="false">
      <c r="A14" s="3" t="s">
        <v>167</v>
      </c>
      <c r="C14" s="32" t="s">
        <v>168</v>
      </c>
    </row>
    <row r="16" customFormat="false" ht="15" hidden="false" customHeight="false" outlineLevel="0" collapsed="false">
      <c r="A16" s="3" t="s">
        <v>169</v>
      </c>
      <c r="B16" s="30" t="n">
        <v>0.3</v>
      </c>
      <c r="C16" s="1" t="str">
        <f aca="false">IF(B16&gt;B9,"Above the 15% cap: counter with give-gets; walk away below floor","Within rules")</f>
        <v>Above the 15% cap: counter with give-gets; walk away below floor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4" t="s">
        <v>170</v>
      </c>
    </row>
    <row r="2" customFormat="false" ht="15" hidden="false" customHeight="false" outlineLevel="0" collapsed="false">
      <c r="A2" s="5"/>
    </row>
    <row r="4" customFormat="false" ht="15" hidden="false" customHeight="false" outlineLevel="0" collapsed="false">
      <c r="A4" s="6" t="s">
        <v>171</v>
      </c>
      <c r="B4" s="6" t="s">
        <v>172</v>
      </c>
      <c r="C4" s="6" t="s">
        <v>173</v>
      </c>
    </row>
    <row r="5" customFormat="false" ht="15" hidden="false" customHeight="false" outlineLevel="0" collapsed="false">
      <c r="A5" s="3" t="s">
        <v>174</v>
      </c>
      <c r="B5" s="33" t="n">
        <f aca="false">Inputs!$B$33</f>
        <v>1150</v>
      </c>
      <c r="C5" s="1" t="str">
        <f aca="false">IF(ABS(B5-1150)&lt;=10,"OK","CHECK")</f>
        <v>OK</v>
      </c>
    </row>
    <row r="6" customFormat="false" ht="15" hidden="false" customHeight="false" outlineLevel="0" collapsed="false">
      <c r="A6" s="3" t="s">
        <v>175</v>
      </c>
      <c r="B6" s="33" t="n">
        <f aca="false">Scope_Price!C17</f>
        <v>0.775389438897937</v>
      </c>
      <c r="C6" s="1" t="str">
        <f aca="false">IF(B6&lt;=Inputs!$B$17,"OK","COMMITTEE")</f>
        <v>OK</v>
      </c>
    </row>
    <row r="7" customFormat="false" ht="15" hidden="false" customHeight="false" outlineLevel="0" collapsed="false">
      <c r="A7" s="3" t="s">
        <v>176</v>
      </c>
      <c r="B7" s="33" t="n">
        <f aca="false">Payback!B8</f>
        <v>3.22215396508015</v>
      </c>
      <c r="C7" s="1" t="str">
        <f aca="false">IF(B7&lt;=Inputs!$B$16,"OK","FAILS RULE")</f>
        <v>OK</v>
      </c>
    </row>
    <row r="8" customFormat="false" ht="15" hidden="false" customHeight="false" outlineLevel="0" collapsed="false">
      <c r="A8" s="3" t="s">
        <v>177</v>
      </c>
      <c r="B8" s="33" t="n">
        <f aca="false">Payback!E8</f>
        <v>7.13100141534866</v>
      </c>
      <c r="C8" s="1" t="str">
        <f aca="false">IF(B8&lt;=Inputs!$B$16,"OK","FAILS RULE")</f>
        <v>OK</v>
      </c>
    </row>
    <row r="9" customFormat="false" ht="15" hidden="false" customHeight="false" outlineLevel="0" collapsed="false">
      <c r="A9" s="3" t="s">
        <v>178</v>
      </c>
      <c r="B9" s="33" t="n">
        <f aca="false">Discount_Rules!B9</f>
        <v>0.15</v>
      </c>
      <c r="C9" s="1" t="str">
        <f aca="false">IF(B9&lt;=0.15,"OK","OVER")</f>
        <v>OK</v>
      </c>
    </row>
    <row r="10" customFormat="false" ht="15" hidden="false" customHeight="false" outlineLevel="0" collapsed="false">
      <c r="A10" s="3" t="s">
        <v>179</v>
      </c>
      <c r="B10" s="33" t="n">
        <f aca="false">Inputs!$B$9</f>
        <v>120</v>
      </c>
      <c r="C10" s="1" t="str">
        <f aca="false">IF(B10=8*15,"OK","CHECK")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2026-09-23T10:59:21Z</dcterms:created>
  <dc:creator>openpyxl</dc:creator>
  <dc:description/>
  <dc:language>en-US</dc:language>
  <cp:lastModifiedBy/>
  <dcterms:modified xsi:type="dcterms:W3CDTF">2026-09-23T10:59:21Z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
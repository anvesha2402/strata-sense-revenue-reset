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OB_coding" sheetId="2" state="visible" r:id="rId4"/>
    <sheet name="DR1_loss_reasons" sheetId="3" state="visible" r:id="rId5"/>
    <sheet name="Rival_evidence" sheetId="4" state="visible" r:id="rId6"/>
    <sheet name="Uplift_model" sheetId="5" state="visible" r:id="rId7"/>
    <sheet name="Discount_limits" sheetId="6" state="visible" r:id="rId8"/>
    <sheet name="Inject2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<sst xmlns="http://schemas.openxmlformats.org/spreadsheetml/2006/main" count="289" uniqueCount="230">
  <si>
    <t xml:space="preserve">D5 WIN/LOSS ANALYSIS</t>
  </si>
  <si>
    <t xml:space="preserve">Company</t>
  </si>
  <si>
    <t xml:space="preserve">Strata Sense is fictional; data synthetic (MBA capstone).</t>
  </si>
  <si>
    <t xml:space="preserve">Sources</t>
  </si>
  <si>
    <t xml:space="preserve">DR1 CRM (cleaned in D1), qualified closed deals FY25–FY26; DR4 voice of buyer (24 interviews, 12 rep notes).</t>
  </si>
  <si>
    <t xml:space="preserve">Sheets</t>
  </si>
  <si>
    <t xml:space="preserve">VOB_coding · DR1_loss_reasons · Rival_evidence · Uplift_model (formulas; blue inputs) · Discount_limits · Inject2</t>
  </si>
  <si>
    <t xml:space="preserve">Caution</t>
  </si>
  <si>
    <t xml:space="preserve">The CRM competitor field is filled mostly after a loss (blank on 51% of wins, 30% of losses), so win rates 'against' a rival are biased low. Compare within rivals (strong vs weak selling), not across.</t>
  </si>
  <si>
    <t xml:space="preserve">interview_id</t>
  </si>
  <si>
    <t xml:space="preserve">opp_id</t>
  </si>
  <si>
    <t xml:space="preserve">outcome</t>
  </si>
  <si>
    <t xml:space="preserve">rival_context</t>
  </si>
  <si>
    <t xml:space="preserve">interviewee_role</t>
  </si>
  <si>
    <t xml:space="preserve">BUNDLE-LOCKIN</t>
  </si>
  <si>
    <t xml:space="preserve">PLC-COVERAGE-GAP</t>
  </si>
  <si>
    <t xml:space="preserve">INTEGRATOR-ARCH</t>
  </si>
  <si>
    <t xml:space="preserve">SENSOR-REUSE</t>
  </si>
  <si>
    <t xml:space="preserve">PRICE-ONLY</t>
  </si>
  <si>
    <t xml:space="preserve">SINGLE-THREAD/NO-EB</t>
  </si>
  <si>
    <t xml:space="preserve">NO-BUYER-NUMBERS</t>
  </si>
  <si>
    <t xml:space="preserve">BUDGET/DEFERRAL</t>
  </si>
  <si>
    <t xml:space="preserve">IT-SECURITY</t>
  </si>
  <si>
    <t xml:space="preserve">WIN-COMPLEMENT</t>
  </si>
  <si>
    <t xml:space="preserve">WIN-BUYER-NUMBERS</t>
  </si>
  <si>
    <t xml:space="preserve">WIN-PILOT-CRITERIA</t>
  </si>
  <si>
    <t xml:space="preserve">WIN-MULTI-THREAD</t>
  </si>
  <si>
    <t xml:space="preserve">WIN-PARTNER</t>
  </si>
  <si>
    <t xml:space="preserve">WIN-DIAGNOSTIC-DEPTH</t>
  </si>
  <si>
    <t xml:space="preserve">VOB-01</t>
  </si>
  <si>
    <t xml:space="preserve">OPP-110215</t>
  </si>
  <si>
    <t xml:space="preserve">Lost</t>
  </si>
  <si>
    <t xml:space="preserve">Helix</t>
  </si>
  <si>
    <t xml:space="preserve">Plant maintenance head</t>
  </si>
  <si>
    <t xml:space="preserve">VOB-02</t>
  </si>
  <si>
    <t xml:space="preserve">OPP-106456</t>
  </si>
  <si>
    <t xml:space="preserve">Operations director</t>
  </si>
  <si>
    <t xml:space="preserve">VOB-03</t>
  </si>
  <si>
    <t xml:space="preserve">OPP-110102</t>
  </si>
  <si>
    <t xml:space="preserve">Reliability engineer</t>
  </si>
  <si>
    <t xml:space="preserve">VOB-04</t>
  </si>
  <si>
    <t xml:space="preserve">OPP-107405</t>
  </si>
  <si>
    <t xml:space="preserve">Station manager</t>
  </si>
  <si>
    <t xml:space="preserve">VOB-05</t>
  </si>
  <si>
    <t xml:space="preserve">OPP-111858</t>
  </si>
  <si>
    <t xml:space="preserve">Head of engineering</t>
  </si>
  <si>
    <t xml:space="preserve">VOB-06</t>
  </si>
  <si>
    <t xml:space="preserve">OPP-111374</t>
  </si>
  <si>
    <t xml:space="preserve">Utilities manager</t>
  </si>
  <si>
    <t xml:space="preserve">VOB-07</t>
  </si>
  <si>
    <t xml:space="preserve">OPP-109944</t>
  </si>
  <si>
    <t xml:space="preserve">TrueSense</t>
  </si>
  <si>
    <t xml:space="preserve">Plant head</t>
  </si>
  <si>
    <t xml:space="preserve">VOB-08</t>
  </si>
  <si>
    <t xml:space="preserve">OPP-107022</t>
  </si>
  <si>
    <t xml:space="preserve">Maintenance manager</t>
  </si>
  <si>
    <t xml:space="preserve">VOB-09</t>
  </si>
  <si>
    <t xml:space="preserve">OPP-109968</t>
  </si>
  <si>
    <t xml:space="preserve">Procurement manager</t>
  </si>
  <si>
    <t xml:space="preserve">VOB-10</t>
  </si>
  <si>
    <t xml:space="preserve">OPP-107338</t>
  </si>
  <si>
    <t xml:space="preserve">Warehouse operations head</t>
  </si>
  <si>
    <t xml:space="preserve">VOB-11</t>
  </si>
  <si>
    <t xml:space="preserve">OPP-109453</t>
  </si>
  <si>
    <t xml:space="preserve">BMI</t>
  </si>
  <si>
    <t xml:space="preserve">Facilities manager</t>
  </si>
  <si>
    <t xml:space="preserve">VOB-12</t>
  </si>
  <si>
    <t xml:space="preserve">OPP-110581</t>
  </si>
  <si>
    <t xml:space="preserve">Plant engineer</t>
  </si>
  <si>
    <t xml:space="preserve">VOB-13</t>
  </si>
  <si>
    <t xml:space="preserve">OPP-109053</t>
  </si>
  <si>
    <t xml:space="preserve">No decision</t>
  </si>
  <si>
    <t xml:space="preserve">VOB-14</t>
  </si>
  <si>
    <t xml:space="preserve">OPP-108595</t>
  </si>
  <si>
    <t xml:space="preserve">Utilities head</t>
  </si>
  <si>
    <t xml:space="preserve">VOB-15</t>
  </si>
  <si>
    <t xml:space="preserve">OPP-107099</t>
  </si>
  <si>
    <t xml:space="preserve">Mill manager</t>
  </si>
  <si>
    <t xml:space="preserve">VOB-16</t>
  </si>
  <si>
    <t xml:space="preserve">OPP-105266</t>
  </si>
  <si>
    <t xml:space="preserve">Operations manager</t>
  </si>
  <si>
    <t xml:space="preserve">VOB-17</t>
  </si>
  <si>
    <t xml:space="preserve">OPP-111034</t>
  </si>
  <si>
    <t xml:space="preserve">Won</t>
  </si>
  <si>
    <t xml:space="preserve">Maintenance head</t>
  </si>
  <si>
    <t xml:space="preserve">VOB-18</t>
  </si>
  <si>
    <t xml:space="preserve">OPP-106422</t>
  </si>
  <si>
    <t xml:space="preserve">VOB-19</t>
  </si>
  <si>
    <t xml:space="preserve">OPP-108300</t>
  </si>
  <si>
    <t xml:space="preserve">VOB-20</t>
  </si>
  <si>
    <t xml:space="preserve">OPP-110096</t>
  </si>
  <si>
    <t xml:space="preserve">Engineering manager</t>
  </si>
  <si>
    <t xml:space="preserve">VOB-21</t>
  </si>
  <si>
    <t xml:space="preserve">OPP-108355</t>
  </si>
  <si>
    <t xml:space="preserve">CFO</t>
  </si>
  <si>
    <t xml:space="preserve">VOB-22</t>
  </si>
  <si>
    <t xml:space="preserve">OPP-108912</t>
  </si>
  <si>
    <t xml:space="preserve">None</t>
  </si>
  <si>
    <t xml:space="preserve">VOB-23</t>
  </si>
  <si>
    <t xml:space="preserve">OPP-111521</t>
  </si>
  <si>
    <t xml:space="preserve">Finance controller</t>
  </si>
  <si>
    <t xml:space="preserve">VOB-24</t>
  </si>
  <si>
    <t xml:space="preserve">OPP-110706</t>
  </si>
  <si>
    <t xml:space="preserve">Count (losses)</t>
  </si>
  <si>
    <t xml:space="preserve">Count (wins)</t>
  </si>
  <si>
    <t xml:space="preserve">Loss reason (FY25–26 qualified losses)</t>
  </si>
  <si>
    <t xml:space="preserve">Bharat Machine Intelligence</t>
  </si>
  <si>
    <t xml:space="preserve">Helix Automation</t>
  </si>
  <si>
    <t xml:space="preserve">None / blank</t>
  </si>
  <si>
    <t xml:space="preserve">TrueSense AI</t>
  </si>
  <si>
    <t xml:space="preserve">Total</t>
  </si>
  <si>
    <t xml:space="preserve">(blank)</t>
  </si>
  <si>
    <t xml:space="preserve">Budget frozen</t>
  </si>
  <si>
    <t xml:space="preserve">IT security did not approve</t>
  </si>
  <si>
    <t xml:space="preserve">Lost to competitor - bundled offer</t>
  </si>
  <si>
    <t xml:space="preserve">Lost to competitor - existing vendor relationship</t>
  </si>
  <si>
    <t xml:space="preserve">Lost to competitor - features</t>
  </si>
  <si>
    <t xml:space="preserve">Lost to competitor - uses existing sensors</t>
  </si>
  <si>
    <t xml:space="preserve">No decision / status quo</t>
  </si>
  <si>
    <t xml:space="preserve">Price</t>
  </si>
  <si>
    <t xml:space="preserve">Project deferred</t>
  </si>
  <si>
    <t xml:space="preserve">Metric (FY25–26 unless stated)</t>
  </si>
  <si>
    <t xml:space="preserve">Source</t>
  </si>
  <si>
    <t xml:space="preserve">Share of FY26 qualified deals with rival recorded</t>
  </si>
  <si>
    <t xml:space="preserve">DR1 clean</t>
  </si>
  <si>
    <t xml:space="preserve">Proposals: win rate with strong selling (BC + multi-threaded)</t>
  </si>
  <si>
    <t xml:space="preserve">Proposals: win rate without strong selling</t>
  </si>
  <si>
    <t xml:space="preserve">Proposals: n strong / n total</t>
  </si>
  <si>
    <t xml:space="preserve">9 / 72</t>
  </si>
  <si>
    <t xml:space="preserve">14 / 56</t>
  </si>
  <si>
    <t xml:space="preserve">4 / 31</t>
  </si>
  <si>
    <t xml:space="preserve">Small samples</t>
  </si>
  <si>
    <t xml:space="preserve">Average discount on won proposals</t>
  </si>
  <si>
    <t xml:space="preserve">Average discount on lost proposals</t>
  </si>
  <si>
    <t xml:space="preserve">Discount did not separate wins from losses</t>
  </si>
  <si>
    <t xml:space="preserve">Win rate in Helix-incumbent accounts FY24 → FY26</t>
  </si>
  <si>
    <t xml:space="preserve">20.1% → 7.0%</t>
  </si>
  <si>
    <t xml:space="preserve">D1</t>
  </si>
  <si>
    <t xml:space="preserve">Top loss reason (coded, DR1)</t>
  </si>
  <si>
    <t xml:space="preserve">Bundled offer / existing vendor</t>
  </si>
  <si>
    <t xml:space="preserve">Existing sensors reused; price</t>
  </si>
  <si>
    <t xml:space="preserve">DR1 loss_reason</t>
  </si>
  <si>
    <t xml:space="preserve">Top loss theme (DR4 interviews)</t>
  </si>
  <si>
    <t xml:space="preserve">Bundle lock-in (5 of 6 losses)</t>
  </si>
  <si>
    <t xml:space="preserve">Sensor reuse (3 of 4 losses)</t>
  </si>
  <si>
    <t xml:space="preserve">Price only (2 of 2)</t>
  </si>
  <si>
    <t xml:space="preserve">DR4 coded</t>
  </si>
  <si>
    <t xml:space="preserve">Top win theme (DR4 interviews)</t>
  </si>
  <si>
    <t xml:space="preserve">Complement uncovered assets (2 of 2 wins)</t>
  </si>
  <si>
    <t xml:space="preserve">Diagnostic depth; pilot criteria; multi-threading</t>
  </si>
  <si>
    <t xml:space="preserve">Diagnostic depth; CFO in room</t>
  </si>
  <si>
    <t xml:space="preserve">Rival</t>
  </si>
  <si>
    <t xml:space="preserve">Share of qualified deals (FY26)</t>
  </si>
  <si>
    <t xml:space="preserve">FY26 win rate in these deals (context)</t>
  </si>
  <si>
    <t xml:space="preserve">Lever</t>
  </si>
  <si>
    <t xml:space="preserve">Uplift (pts) before Inject 2</t>
  </si>
  <si>
    <t xml:space="preserve">Inject 2 effect (pts, FY27)</t>
  </si>
  <si>
    <t xml:space="preserve">FY27 uplift (pts)</t>
  </si>
  <si>
    <t xml:space="preserve">Contribution to overall win rate (pts)</t>
  </si>
  <si>
    <t xml:space="preserve">Overlap with D2 threading lift</t>
  </si>
  <si>
    <t xml:space="preserve">Incremental beyond D2 (pts)</t>
  </si>
  <si>
    <t xml:space="preserve">Assumption / evidence</t>
  </si>
  <si>
    <t xml:space="preserve">Helix (incumbent accounts, named 40 only)</t>
  </si>
  <si>
    <t xml:space="preserve">Complement play on non-PLC assets; no head-on replacement; no discount matching</t>
  </si>
  <si>
    <t xml:space="preserve">Helix-incumbent win 7% FY26; complement wins in DR4 (2 of 2); Inject 2 makes 'free' stronger until Mar 2027</t>
  </si>
  <si>
    <t xml:space="preserve">Business case on buyer numbers + ≥3 contacts; sensor-data audit question; qualify out simple sites with good existing sensors</t>
  </si>
  <si>
    <t xml:space="preserve">Strong selling 12% → 36% on TrueSense proposals (n=14 strong); half of the lift already in D2 threading</t>
  </si>
  <si>
    <t xml:space="preserve">Qualify out price-only small sites (D2 stop-list); CFO risk case where critical assets exist</t>
  </si>
  <si>
    <t xml:space="preserve">BMI losses coded 'price' (31 of 49 with a reason); stop-list reduces BMI volume</t>
  </si>
  <si>
    <t xml:space="preserve">Compelling event, economic buyer by stage 2, paid pilot with written criteria</t>
  </si>
  <si>
    <t xml:space="preserve">52 of 359 FY26 losses are no-decision; DR4: single-threaded and vendor numbers in 3 of 4</t>
  </si>
  <si>
    <t xml:space="preserve">Total (percentage points on overall win rate)</t>
  </si>
  <si>
    <t xml:space="preserve">Reading: battlecards add about 1.5 points (before overlap) to the overall win rate in FY27, but most of it overlaps with the D2 multi-threading lift. Only about 0.6 points is new, and the Helix lever is cancelled in FY27 by Inject 2.</t>
  </si>
  <si>
    <t xml:space="preserve">Situation</t>
  </si>
  <si>
    <t xml:space="preserve">Rep may give (max)</t>
  </si>
  <si>
    <t xml:space="preserve">Manager may approve (max)</t>
  </si>
  <si>
    <t xml:space="preserve">Must get in return</t>
  </si>
  <si>
    <t xml:space="preserve">Never</t>
  </si>
  <si>
    <t xml:space="preserve">Any deal (company rule)</t>
  </si>
  <si>
    <t xml:space="preserve">10%</t>
  </si>
  <si>
    <t xml:space="preserve">15%</t>
  </si>
  <si>
    <t xml:space="preserve">Give-get table: term, prepay, second site, reference</t>
  </si>
  <si>
    <t xml:space="preserve">Discount without a give; hardware below cost</t>
  </si>
  <si>
    <t xml:space="preserve">Against Helix bundle / 'free'</t>
  </si>
  <si>
    <t xml:space="preserve">0% to match free</t>
  </si>
  <si>
    <t xml:space="preserve">10% only for a 3-year term on complement scope</t>
  </si>
  <si>
    <t xml:space="preserve">Scope limited to non-PLC assets; integration pack; exec sponsor</t>
  </si>
  <si>
    <t xml:space="preserve">Match 'free'; bid for PLC-connected assets</t>
  </si>
  <si>
    <t xml:space="preserve">Against TrueSense</t>
  </si>
  <si>
    <t xml:space="preserve">5%</t>
  </si>
  <si>
    <t xml:space="preserve">12%</t>
  </si>
  <si>
    <t xml:space="preserve">Paid pilot with sensor-data audit; 3-year TCO in proposal</t>
  </si>
  <si>
    <t xml:space="preserve">Price-match their per-asset rate</t>
  </si>
  <si>
    <t xml:space="preserve">Against BMI</t>
  </si>
  <si>
    <t xml:space="preserve">0%</t>
  </si>
  <si>
    <t xml:space="preserve">CFO risk case on critical assets</t>
  </si>
  <si>
    <t xml:space="preserve">Chase price-only sites (qualify out)</t>
  </si>
  <si>
    <t xml:space="preserve">No-decision risk</t>
  </si>
  <si>
    <t xml:space="preserve">Pilot credit only</t>
  </si>
  <si>
    <t xml:space="preserve">Compelling event and economic buyer confirmed</t>
  </si>
  <si>
    <t xml:space="preserve">End-of-quarter discount to force a decision</t>
  </si>
  <si>
    <t xml:space="preserve">FY26 evidence: average discount on won and lost proposals was about the same against every rival (19–21%), so discount did not buy wins.</t>
  </si>
  <si>
    <t xml:space="preserve">Item</t>
  </si>
  <si>
    <t xml:space="preserve">Before (D5 v1.0)</t>
  </si>
  <si>
    <t xml:space="preserve">After Inject 2 (v1.1)</t>
  </si>
  <si>
    <t xml:space="preserve">Why</t>
  </si>
  <si>
    <t xml:space="preserve">Event</t>
  </si>
  <si>
    <t xml:space="preserve">Helix bundles HelixAsset free for 12 months with a 3-year MES renewal</t>
  </si>
  <si>
    <t xml:space="preserve">Helix makes HelixAsset free to ALL existing plant customers until 31 Mar 2027 (no renewal needed)</t>
  </si>
  <si>
    <t xml:space="preserve">Announcement, Week 5</t>
  </si>
  <si>
    <t xml:space="preserve">New-logo win rate, Helix-incumbent accounts (FY27)</t>
  </si>
  <si>
    <t xml:space="preserve">7% → 10% with complement play</t>
  </si>
  <si>
    <t xml:space="preserve">7% → 7% (lever cancelled); recover to ~10% in FY28 when 'free' ends</t>
  </si>
  <si>
    <t xml:space="preserve">Free removes the lock-in argument until Mar 2027</t>
  </si>
  <si>
    <t xml:space="preserve">Retention risk, Helix-incumbent customers</t>
  </si>
  <si>
    <t xml:space="preserve">NRR 92% (FY26)</t>
  </si>
  <si>
    <t xml:space="preserve">Treat ₹108.6 cr ARR as at-risk; renewals before Mar 2027 get exec sponsor + usage review 90 days ahead</t>
  </si>
  <si>
    <t xml:space="preserve">Customers may trial HelixAsset alongside us at zero cost</t>
  </si>
  <si>
    <t xml:space="preserve">Discount limit vs Helix</t>
  </si>
  <si>
    <t xml:space="preserve">Up to 10% for 3-year complement term</t>
  </si>
  <si>
    <t xml:space="preserve">Unchanged. No matching 'free'. New allowed trade: 3-month deferred start on complement scope, only with a 3-year term</t>
  </si>
  <si>
    <t xml:space="preserve">Keeps price integrity; gives buyers a reason not to wait</t>
  </si>
  <si>
    <t xml:space="preserve">Key talk track</t>
  </si>
  <si>
    <t xml:space="preserve">'Free for a year, then list price, with a 3-year lock-in'</t>
  </si>
  <si>
    <t xml:space="preserve">'Free until March. Then what? And what does it cover? Only machines wired to Helix PLCs.'</t>
  </si>
  <si>
    <t xml:space="preserve">Shift from lock-in to coverage and cost after March 2027</t>
  </si>
  <si>
    <t xml:space="preserve">Battlecard owner action</t>
  </si>
  <si>
    <t xml:space="preserve">—</t>
  </si>
  <si>
    <t xml:space="preserve">Urgent update published within 48 hours; 30-minute rep briefing; win/loss tagging 'HELIX-FREE' in CRM for 90 days</t>
  </si>
  <si>
    <t xml:space="preserve">Urgent-update rule test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</si>
</sst>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0.00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514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20" min="6" style="0" width="12"/>
  </cols>
  <sheetData>
    <row r="1" customFormat="false" ht="35.0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</row>
    <row r="2" customFormat="false" ht="15" hidden="false" customHeight="false" outlineLevel="0" collapsed="false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s">
        <v>31</v>
      </c>
      <c r="D3" s="3" t="s">
        <v>32</v>
      </c>
      <c r="E3" s="3" t="s">
        <v>36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31</v>
      </c>
      <c r="D4" s="3" t="s">
        <v>32</v>
      </c>
      <c r="E4" s="3" t="s">
        <v>39</v>
      </c>
      <c r="F4" s="3" t="n">
        <v>1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31</v>
      </c>
      <c r="D5" s="3" t="s">
        <v>32</v>
      </c>
      <c r="E5" s="3" t="s">
        <v>42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 t="s">
        <v>31</v>
      </c>
      <c r="D6" s="3" t="s">
        <v>32</v>
      </c>
      <c r="E6" s="3" t="s">
        <v>45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 customFormat="false" ht="15" hidden="false" customHeight="false" outlineLevel="0" collapsed="false">
      <c r="A7" s="3" t="s">
        <v>46</v>
      </c>
      <c r="B7" s="3" t="s">
        <v>47</v>
      </c>
      <c r="C7" s="3" t="s">
        <v>31</v>
      </c>
      <c r="D7" s="3" t="s">
        <v>32</v>
      </c>
      <c r="E7" s="3" t="s">
        <v>48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 customFormat="false" ht="15" hidden="false" customHeight="false" outlineLevel="0" collapsed="false">
      <c r="A8" s="3" t="s">
        <v>49</v>
      </c>
      <c r="B8" s="3" t="s">
        <v>50</v>
      </c>
      <c r="C8" s="3" t="s">
        <v>31</v>
      </c>
      <c r="D8" s="3" t="s">
        <v>51</v>
      </c>
      <c r="E8" s="3" t="s">
        <v>52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 customFormat="false" ht="15" hidden="false" customHeight="false" outlineLevel="0" collapsed="false">
      <c r="A9" s="3" t="s">
        <v>53</v>
      </c>
      <c r="B9" s="3" t="s">
        <v>54</v>
      </c>
      <c r="C9" s="3" t="s">
        <v>31</v>
      </c>
      <c r="D9" s="3" t="s">
        <v>51</v>
      </c>
      <c r="E9" s="3" t="s">
        <v>55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 customFormat="false" ht="15" hidden="false" customHeight="false" outlineLevel="0" collapsed="false">
      <c r="A10" s="3" t="s">
        <v>56</v>
      </c>
      <c r="B10" s="3" t="s">
        <v>57</v>
      </c>
      <c r="C10" s="3" t="s">
        <v>31</v>
      </c>
      <c r="D10" s="3" t="s">
        <v>51</v>
      </c>
      <c r="E10" s="3" t="s">
        <v>58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 customFormat="false" ht="15" hidden="false" customHeight="false" outlineLevel="0" collapsed="false">
      <c r="A11" s="3" t="s">
        <v>59</v>
      </c>
      <c r="B11" s="3" t="s">
        <v>60</v>
      </c>
      <c r="C11" s="3" t="s">
        <v>31</v>
      </c>
      <c r="D11" s="3" t="s">
        <v>51</v>
      </c>
      <c r="E11" s="3" t="s">
        <v>61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customFormat="false" ht="15" hidden="false" customHeight="false" outlineLevel="0" collapsed="false">
      <c r="A12" s="3" t="s">
        <v>62</v>
      </c>
      <c r="B12" s="3" t="s">
        <v>63</v>
      </c>
      <c r="C12" s="3" t="s">
        <v>31</v>
      </c>
      <c r="D12" s="3" t="s">
        <v>64</v>
      </c>
      <c r="E12" s="3" t="s">
        <v>65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 customFormat="false" ht="15" hidden="false" customHeight="false" outlineLevel="0" collapsed="false">
      <c r="A13" s="3" t="s">
        <v>66</v>
      </c>
      <c r="B13" s="3" t="s">
        <v>67</v>
      </c>
      <c r="C13" s="3" t="s">
        <v>31</v>
      </c>
      <c r="D13" s="3" t="s">
        <v>64</v>
      </c>
      <c r="E13" s="3" t="s">
        <v>68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 customFormat="false" ht="15" hidden="false" customHeight="false" outlineLevel="0" collapsed="false">
      <c r="A14" s="3" t="s">
        <v>69</v>
      </c>
      <c r="B14" s="3" t="s">
        <v>70</v>
      </c>
      <c r="C14" s="3" t="s">
        <v>31</v>
      </c>
      <c r="D14" s="3" t="s">
        <v>71</v>
      </c>
      <c r="E14" s="3" t="s">
        <v>52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 customFormat="false" ht="15" hidden="false" customHeight="false" outlineLevel="0" collapsed="false">
      <c r="A15" s="3" t="s">
        <v>72</v>
      </c>
      <c r="B15" s="3" t="s">
        <v>73</v>
      </c>
      <c r="C15" s="3" t="s">
        <v>31</v>
      </c>
      <c r="D15" s="3" t="s">
        <v>71</v>
      </c>
      <c r="E15" s="3" t="s">
        <v>74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0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 customFormat="false" ht="15" hidden="false" customHeight="false" outlineLevel="0" collapsed="false">
      <c r="A16" s="3" t="s">
        <v>75</v>
      </c>
      <c r="B16" s="3" t="s">
        <v>76</v>
      </c>
      <c r="C16" s="3" t="s">
        <v>31</v>
      </c>
      <c r="D16" s="3" t="s">
        <v>71</v>
      </c>
      <c r="E16" s="3" t="s">
        <v>77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 customFormat="false" ht="15" hidden="false" customHeight="false" outlineLevel="0" collapsed="false">
      <c r="A17" s="3" t="s">
        <v>78</v>
      </c>
      <c r="B17" s="3" t="s">
        <v>79</v>
      </c>
      <c r="C17" s="3" t="s">
        <v>31</v>
      </c>
      <c r="D17" s="3" t="s">
        <v>71</v>
      </c>
      <c r="E17" s="3" t="s">
        <v>80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 customFormat="false" ht="15" hidden="false" customHeight="false" outlineLevel="0" collapsed="false">
      <c r="A18" s="3" t="s">
        <v>81</v>
      </c>
      <c r="B18" s="3" t="s">
        <v>82</v>
      </c>
      <c r="C18" s="3" t="s">
        <v>83</v>
      </c>
      <c r="D18" s="3" t="s">
        <v>51</v>
      </c>
      <c r="E18" s="3" t="s">
        <v>84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1</v>
      </c>
      <c r="S18" s="3" t="n">
        <v>0</v>
      </c>
      <c r="T18" s="3" t="n">
        <v>1</v>
      </c>
    </row>
    <row r="19" customFormat="false" ht="15" hidden="false" customHeight="false" outlineLevel="0" collapsed="false">
      <c r="A19" s="3" t="s">
        <v>85</v>
      </c>
      <c r="B19" s="3" t="s">
        <v>86</v>
      </c>
      <c r="C19" s="3" t="s">
        <v>83</v>
      </c>
      <c r="D19" s="3" t="s">
        <v>51</v>
      </c>
      <c r="E19" s="3" t="s">
        <v>52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</v>
      </c>
      <c r="Q19" s="3" t="n">
        <v>0</v>
      </c>
      <c r="R19" s="3" t="n">
        <v>0</v>
      </c>
      <c r="S19" s="3" t="n">
        <v>0</v>
      </c>
      <c r="T19" s="3" t="n">
        <v>0</v>
      </c>
    </row>
    <row r="20" customFormat="false" ht="15" hidden="false" customHeight="false" outlineLevel="0" collapsed="false">
      <c r="A20" s="3" t="s">
        <v>87</v>
      </c>
      <c r="B20" s="3" t="s">
        <v>88</v>
      </c>
      <c r="C20" s="3" t="s">
        <v>83</v>
      </c>
      <c r="D20" s="3" t="s">
        <v>32</v>
      </c>
      <c r="E20" s="3" t="s">
        <v>52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 customFormat="false" ht="15" hidden="false" customHeight="false" outlineLevel="0" collapsed="false">
      <c r="A21" s="3" t="s">
        <v>89</v>
      </c>
      <c r="B21" s="3" t="s">
        <v>90</v>
      </c>
      <c r="C21" s="3" t="s">
        <v>83</v>
      </c>
      <c r="D21" s="3" t="s">
        <v>32</v>
      </c>
      <c r="E21" s="3" t="s">
        <v>91</v>
      </c>
      <c r="F21" s="3" t="n">
        <v>0</v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 customFormat="false" ht="15" hidden="false" customHeight="false" outlineLevel="0" collapsed="false">
      <c r="A22" s="3" t="s">
        <v>92</v>
      </c>
      <c r="B22" s="3" t="s">
        <v>93</v>
      </c>
      <c r="C22" s="3" t="s">
        <v>83</v>
      </c>
      <c r="D22" s="3" t="s">
        <v>64</v>
      </c>
      <c r="E22" s="3" t="s">
        <v>94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1</v>
      </c>
    </row>
    <row r="23" customFormat="false" ht="15" hidden="false" customHeight="false" outlineLevel="0" collapsed="false">
      <c r="A23" s="3" t="s">
        <v>95</v>
      </c>
      <c r="B23" s="3" t="s">
        <v>96</v>
      </c>
      <c r="C23" s="3" t="s">
        <v>83</v>
      </c>
      <c r="D23" s="3" t="s">
        <v>97</v>
      </c>
      <c r="E23" s="3" t="s">
        <v>36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1</v>
      </c>
      <c r="S23" s="3" t="n">
        <v>1</v>
      </c>
      <c r="T23" s="3" t="n">
        <v>0</v>
      </c>
    </row>
    <row r="24" customFormat="false" ht="15" hidden="false" customHeight="false" outlineLevel="0" collapsed="false">
      <c r="A24" s="3" t="s">
        <v>98</v>
      </c>
      <c r="B24" s="3" t="s">
        <v>99</v>
      </c>
      <c r="C24" s="3" t="s">
        <v>83</v>
      </c>
      <c r="D24" s="3" t="s">
        <v>97</v>
      </c>
      <c r="E24" s="3" t="s">
        <v>100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1</v>
      </c>
      <c r="R24" s="3" t="n">
        <v>0</v>
      </c>
      <c r="S24" s="3" t="n">
        <v>0</v>
      </c>
      <c r="T24" s="3" t="n">
        <v>0</v>
      </c>
    </row>
    <row r="25" customFormat="false" ht="15" hidden="false" customHeight="false" outlineLevel="0" collapsed="false">
      <c r="A25" s="3" t="s">
        <v>101</v>
      </c>
      <c r="B25" s="3" t="s">
        <v>102</v>
      </c>
      <c r="C25" s="3" t="s">
        <v>83</v>
      </c>
      <c r="D25" s="3" t="s">
        <v>51</v>
      </c>
      <c r="E25" s="3" t="s">
        <v>52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</row>
    <row r="27" customFormat="false" ht="15" hidden="false" customHeight="false" outlineLevel="0" collapsed="false">
      <c r="A27" s="1" t="s">
        <v>103</v>
      </c>
      <c r="F27" s="1" t="n">
        <f aca="false">SUMIFS(F2:F25,$C$2:$C$25,"Lost")</f>
        <v>5</v>
      </c>
      <c r="G27" s="1" t="n">
        <f aca="false">SUMIFS(G2:G25,$C$2:$C$25,"Lost")</f>
        <v>1</v>
      </c>
      <c r="H27" s="1" t="n">
        <f aca="false">SUMIFS(H2:H25,$C$2:$C$25,"Lost")</f>
        <v>1</v>
      </c>
      <c r="I27" s="1" t="n">
        <f aca="false">SUMIFS(I2:I25,$C$2:$C$25,"Lost")</f>
        <v>3</v>
      </c>
      <c r="J27" s="1" t="n">
        <f aca="false">SUMIFS(J2:J25,$C$2:$C$25,"Lost")</f>
        <v>3</v>
      </c>
      <c r="K27" s="1" t="n">
        <f aca="false">SUMIFS(K2:K25,$C$2:$C$25,"Lost")</f>
        <v>7</v>
      </c>
      <c r="L27" s="1" t="n">
        <f aca="false">SUMIFS(L2:L25,$C$2:$C$25,"Lost")</f>
        <v>4</v>
      </c>
      <c r="M27" s="1" t="n">
        <f aca="false">SUMIFS(M2:M25,$C$2:$C$25,"Lost")</f>
        <v>3</v>
      </c>
      <c r="N27" s="1" t="n">
        <f aca="false">SUMIFS(N2:N25,$C$2:$C$25,"Lost")</f>
        <v>1</v>
      </c>
      <c r="O27" s="1" t="n">
        <f aca="false">SUMIFS(O2:O25,$C$2:$C$25,"Lost")</f>
        <v>0</v>
      </c>
      <c r="P27" s="1" t="n">
        <f aca="false">SUMIFS(P2:P25,$C$2:$C$25,"Lost")</f>
        <v>0</v>
      </c>
      <c r="Q27" s="1" t="n">
        <f aca="false">SUMIFS(Q2:Q25,$C$2:$C$25,"Lost")</f>
        <v>0</v>
      </c>
      <c r="R27" s="1" t="n">
        <f aca="false">SUMIFS(R2:R25,$C$2:$C$25,"Lost")</f>
        <v>0</v>
      </c>
      <c r="S27" s="1" t="n">
        <f aca="false">SUMIFS(S2:S25,$C$2:$C$25,"Lost")</f>
        <v>0</v>
      </c>
      <c r="T27" s="1" t="n">
        <f aca="false">SUMIFS(T2:T25,$C$2:$C$25,"Lost")</f>
        <v>0</v>
      </c>
    </row>
    <row r="28" customFormat="false" ht="15" hidden="false" customHeight="false" outlineLevel="0" collapsed="false">
      <c r="A28" s="1" t="s">
        <v>104</v>
      </c>
      <c r="F28" s="1" t="n">
        <f aca="false">SUMIFS(F2:F25,$C$2:$C$25,"Won")</f>
        <v>0</v>
      </c>
      <c r="G28" s="1" t="n">
        <f aca="false">SUMIFS(G2:G25,$C$2:$C$25,"Won")</f>
        <v>2</v>
      </c>
      <c r="H28" s="1" t="n">
        <f aca="false">SUMIFS(H2:H25,$C$2:$C$25,"Won")</f>
        <v>0</v>
      </c>
      <c r="I28" s="1" t="n">
        <f aca="false">SUMIFS(I2:I25,$C$2:$C$25,"Won")</f>
        <v>0</v>
      </c>
      <c r="J28" s="1" t="n">
        <f aca="false">SUMIFS(J2:J25,$C$2:$C$25,"Won")</f>
        <v>0</v>
      </c>
      <c r="K28" s="1" t="n">
        <f aca="false">SUMIFS(K2:K25,$C$2:$C$25,"Won")</f>
        <v>0</v>
      </c>
      <c r="L28" s="1" t="n">
        <f aca="false">SUMIFS(L2:L25,$C$2:$C$25,"Won")</f>
        <v>0</v>
      </c>
      <c r="M28" s="1" t="n">
        <f aca="false">SUMIFS(M2:M25,$C$2:$C$25,"Won")</f>
        <v>0</v>
      </c>
      <c r="N28" s="1" t="n">
        <f aca="false">SUMIFS(N2:N25,$C$2:$C$25,"Won")</f>
        <v>1</v>
      </c>
      <c r="O28" s="1" t="n">
        <f aca="false">SUMIFS(O2:O25,$C$2:$C$25,"Won")</f>
        <v>2</v>
      </c>
      <c r="P28" s="1" t="n">
        <f aca="false">SUMIFS(P2:P25,$C$2:$C$25,"Won")</f>
        <v>3</v>
      </c>
      <c r="Q28" s="1" t="n">
        <f aca="false">SUMIFS(Q2:Q25,$C$2:$C$25,"Won")</f>
        <v>2</v>
      </c>
      <c r="R28" s="1" t="n">
        <f aca="false">SUMIFS(R2:R25,$C$2:$C$25,"Won")</f>
        <v>4</v>
      </c>
      <c r="S28" s="1" t="n">
        <f aca="false">SUMIFS(S2:S25,$C$2:$C$25,"Won")</f>
        <v>1</v>
      </c>
      <c r="T28" s="1" t="n">
        <f aca="false">SUMIFS(T2:T25,$C$2:$C$25,"Won")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</cols>
  <sheetData>
    <row r="1" customFormat="false" ht="23.85" hidden="false" customHeight="false" outlineLevel="0" collapsed="false">
      <c r="A1" s="4" t="s">
        <v>105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</row>
    <row r="2" customFormat="false" ht="15" hidden="false" customHeight="false" outlineLevel="0" collapsed="false">
      <c r="A2" s="3" t="s">
        <v>111</v>
      </c>
      <c r="B2" s="3" t="n">
        <v>14</v>
      </c>
      <c r="C2" s="3" t="n">
        <v>43</v>
      </c>
      <c r="D2" s="3" t="n">
        <v>100</v>
      </c>
      <c r="E2" s="3" t="n">
        <v>36</v>
      </c>
      <c r="F2" s="1" t="n">
        <f aca="false">SUM(B2:E2)</f>
        <v>193</v>
      </c>
    </row>
    <row r="3" customFormat="false" ht="15" hidden="false" customHeight="false" outlineLevel="0" collapsed="false">
      <c r="A3" s="3" t="s">
        <v>112</v>
      </c>
      <c r="B3" s="3" t="n">
        <v>2</v>
      </c>
      <c r="C3" s="3" t="n">
        <v>0</v>
      </c>
      <c r="D3" s="3" t="n">
        <v>21</v>
      </c>
      <c r="E3" s="3" t="n">
        <v>4</v>
      </c>
      <c r="F3" s="1" t="n">
        <f aca="false">SUM(B3:E3)</f>
        <v>27</v>
      </c>
    </row>
    <row r="4" customFormat="false" ht="15" hidden="false" customHeight="false" outlineLevel="0" collapsed="false">
      <c r="A4" s="3" t="s">
        <v>113</v>
      </c>
      <c r="B4" s="3" t="n">
        <v>2</v>
      </c>
      <c r="C4" s="3" t="n">
        <v>1</v>
      </c>
      <c r="D4" s="3" t="n">
        <v>11</v>
      </c>
      <c r="E4" s="3" t="n">
        <v>0</v>
      </c>
      <c r="F4" s="1" t="n">
        <f aca="false">SUM(B4:E4)</f>
        <v>14</v>
      </c>
    </row>
    <row r="5" customFormat="false" ht="15" hidden="false" customHeight="false" outlineLevel="0" collapsed="false">
      <c r="A5" s="3" t="s">
        <v>114</v>
      </c>
      <c r="B5" s="3" t="n">
        <v>0</v>
      </c>
      <c r="C5" s="3" t="n">
        <v>82</v>
      </c>
      <c r="D5" s="3" t="n">
        <v>0</v>
      </c>
      <c r="E5" s="3" t="n">
        <v>0</v>
      </c>
      <c r="F5" s="1" t="n">
        <f aca="false">SUM(B5:E5)</f>
        <v>82</v>
      </c>
    </row>
    <row r="6" customFormat="false" ht="15" hidden="false" customHeight="false" outlineLevel="0" collapsed="false">
      <c r="A6" s="3" t="s">
        <v>115</v>
      </c>
      <c r="B6" s="3" t="n">
        <v>0</v>
      </c>
      <c r="C6" s="3" t="n">
        <v>32</v>
      </c>
      <c r="D6" s="3" t="n">
        <v>0</v>
      </c>
      <c r="E6" s="3" t="n">
        <v>0</v>
      </c>
      <c r="F6" s="1" t="n">
        <f aca="false">SUM(B6:E6)</f>
        <v>32</v>
      </c>
    </row>
    <row r="7" customFormat="false" ht="15" hidden="false" customHeight="false" outlineLevel="0" collapsed="false">
      <c r="A7" s="3" t="s">
        <v>116</v>
      </c>
      <c r="B7" s="3" t="n">
        <v>9</v>
      </c>
      <c r="C7" s="3" t="n">
        <v>0</v>
      </c>
      <c r="D7" s="3" t="n">
        <v>24</v>
      </c>
      <c r="E7" s="3" t="n">
        <v>10</v>
      </c>
      <c r="F7" s="1" t="n">
        <f aca="false">SUM(B7:E7)</f>
        <v>43</v>
      </c>
    </row>
    <row r="8" customFormat="false" ht="15" hidden="false" customHeight="false" outlineLevel="0" collapsed="false">
      <c r="A8" s="3" t="s">
        <v>117</v>
      </c>
      <c r="B8" s="3" t="n">
        <v>0</v>
      </c>
      <c r="C8" s="3" t="n">
        <v>0</v>
      </c>
      <c r="D8" s="3" t="n">
        <v>0</v>
      </c>
      <c r="E8" s="3" t="n">
        <v>46</v>
      </c>
      <c r="F8" s="1" t="n">
        <f aca="false">SUM(B8:E8)</f>
        <v>46</v>
      </c>
    </row>
    <row r="9" customFormat="false" ht="15" hidden="false" customHeight="false" outlineLevel="0" collapsed="false">
      <c r="A9" s="3" t="s">
        <v>118</v>
      </c>
      <c r="B9" s="3" t="n">
        <v>2</v>
      </c>
      <c r="C9" s="3" t="n">
        <v>3</v>
      </c>
      <c r="D9" s="3" t="n">
        <v>26</v>
      </c>
      <c r="E9" s="3" t="n">
        <v>6</v>
      </c>
      <c r="F9" s="1" t="n">
        <f aca="false">SUM(B9:E9)</f>
        <v>37</v>
      </c>
    </row>
    <row r="10" customFormat="false" ht="15" hidden="false" customHeight="false" outlineLevel="0" collapsed="false">
      <c r="A10" s="3" t="s">
        <v>119</v>
      </c>
      <c r="B10" s="3" t="n">
        <v>31</v>
      </c>
      <c r="C10" s="3" t="n">
        <v>17</v>
      </c>
      <c r="D10" s="3" t="n">
        <v>67</v>
      </c>
      <c r="E10" s="3" t="n">
        <v>50</v>
      </c>
      <c r="F10" s="1" t="n">
        <f aca="false">SUM(B10:E10)</f>
        <v>165</v>
      </c>
    </row>
    <row r="11" customFormat="false" ht="15" hidden="false" customHeight="false" outlineLevel="0" collapsed="false">
      <c r="A11" s="3" t="s">
        <v>120</v>
      </c>
      <c r="B11" s="3" t="n">
        <v>2</v>
      </c>
      <c r="C11" s="3" t="n">
        <v>0</v>
      </c>
      <c r="D11" s="3" t="n">
        <v>20</v>
      </c>
      <c r="E11" s="3" t="n">
        <v>0</v>
      </c>
      <c r="F11" s="1" t="n">
        <f aca="false">SUM(B11:E11)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4" t="s">
        <v>121</v>
      </c>
      <c r="B1" s="4" t="s">
        <v>32</v>
      </c>
      <c r="C1" s="4" t="s">
        <v>51</v>
      </c>
      <c r="D1" s="4" t="s">
        <v>64</v>
      </c>
      <c r="E1" s="4" t="s">
        <v>122</v>
      </c>
    </row>
    <row r="2" customFormat="false" ht="15" hidden="false" customHeight="false" outlineLevel="0" collapsed="false">
      <c r="A2" s="3" t="s">
        <v>123</v>
      </c>
      <c r="B2" s="5" t="n">
        <v>0.241</v>
      </c>
      <c r="C2" s="5" t="n">
        <v>0.222</v>
      </c>
      <c r="D2" s="5" t="n">
        <v>0.088</v>
      </c>
      <c r="E2" s="3" t="s">
        <v>124</v>
      </c>
    </row>
    <row r="3" customFormat="false" ht="15" hidden="false" customHeight="false" outlineLevel="0" collapsed="false">
      <c r="A3" s="3" t="s">
        <v>125</v>
      </c>
      <c r="B3" s="5" t="n">
        <v>0</v>
      </c>
      <c r="C3" s="5" t="n">
        <v>0.357</v>
      </c>
      <c r="D3" s="5" t="n">
        <v>0.25</v>
      </c>
      <c r="E3" s="3" t="s">
        <v>124</v>
      </c>
    </row>
    <row r="4" customFormat="false" ht="15" hidden="false" customHeight="false" outlineLevel="0" collapsed="false">
      <c r="A4" s="3" t="s">
        <v>126</v>
      </c>
      <c r="B4" s="5" t="n">
        <v>0.143</v>
      </c>
      <c r="C4" s="5" t="n">
        <v>0.119</v>
      </c>
      <c r="D4" s="5" t="n">
        <v>0.222</v>
      </c>
      <c r="E4" s="3" t="s">
        <v>124</v>
      </c>
    </row>
    <row r="5" customFormat="false" ht="15" hidden="false" customHeight="false" outlineLevel="0" collapsed="false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</row>
    <row r="6" customFormat="false" ht="15" hidden="false" customHeight="false" outlineLevel="0" collapsed="false">
      <c r="A6" s="3" t="s">
        <v>132</v>
      </c>
      <c r="B6" s="3" t="n">
        <v>20.3</v>
      </c>
      <c r="C6" s="3" t="n">
        <v>19.1</v>
      </c>
      <c r="D6" s="3" t="n">
        <v>21</v>
      </c>
      <c r="E6" s="3" t="s">
        <v>124</v>
      </c>
    </row>
    <row r="7" customFormat="false" ht="15" hidden="false" customHeight="false" outlineLevel="0" collapsed="false">
      <c r="A7" s="3" t="s">
        <v>133</v>
      </c>
      <c r="B7" s="3" t="n">
        <v>19</v>
      </c>
      <c r="C7" s="3" t="n">
        <v>20.5</v>
      </c>
      <c r="D7" s="3" t="n">
        <v>18.4</v>
      </c>
      <c r="E7" s="3" t="s">
        <v>134</v>
      </c>
    </row>
    <row r="8" customFormat="false" ht="15" hidden="false" customHeight="false" outlineLevel="0" collapsed="false">
      <c r="A8" s="3" t="s">
        <v>135</v>
      </c>
      <c r="B8" s="3" t="s">
        <v>136</v>
      </c>
      <c r="C8" s="3"/>
      <c r="D8" s="3"/>
      <c r="E8" s="3" t="s">
        <v>137</v>
      </c>
    </row>
    <row r="9" customFormat="false" ht="15" hidden="false" customHeight="false" outlineLevel="0" collapsed="false">
      <c r="A9" s="3" t="s">
        <v>138</v>
      </c>
      <c r="B9" s="3" t="s">
        <v>139</v>
      </c>
      <c r="C9" s="3" t="s">
        <v>140</v>
      </c>
      <c r="D9" s="3" t="s">
        <v>119</v>
      </c>
      <c r="E9" s="3" t="s">
        <v>141</v>
      </c>
    </row>
    <row r="10" customFormat="false" ht="15" hidden="false" customHeight="false" outlineLevel="0" collapsed="false">
      <c r="A10" s="3" t="s">
        <v>142</v>
      </c>
      <c r="B10" s="3" t="s">
        <v>143</v>
      </c>
      <c r="C10" s="3" t="s">
        <v>144</v>
      </c>
      <c r="D10" s="3" t="s">
        <v>145</v>
      </c>
      <c r="E10" s="3" t="s">
        <v>146</v>
      </c>
    </row>
    <row r="11" customFormat="false" ht="15" hidden="false" customHeight="false" outlineLevel="0" collapsed="false">
      <c r="A11" s="3" t="s">
        <v>147</v>
      </c>
      <c r="B11" s="3" t="s">
        <v>148</v>
      </c>
      <c r="C11" s="3" t="s">
        <v>149</v>
      </c>
      <c r="D11" s="3" t="s">
        <v>150</v>
      </c>
      <c r="E11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50"/>
  </cols>
  <sheetData>
    <row r="1" customFormat="false" ht="46.25" hidden="false" customHeight="false" outlineLevel="0" collapsed="false">
      <c r="A1" s="4" t="s">
        <v>151</v>
      </c>
      <c r="B1" s="4" t="s">
        <v>152</v>
      </c>
      <c r="C1" s="4" t="s">
        <v>153</v>
      </c>
      <c r="D1" s="4" t="s">
        <v>154</v>
      </c>
      <c r="E1" s="4" t="s">
        <v>155</v>
      </c>
      <c r="F1" s="4" t="s">
        <v>156</v>
      </c>
      <c r="G1" s="4" t="s">
        <v>157</v>
      </c>
      <c r="H1" s="4" t="s">
        <v>158</v>
      </c>
      <c r="I1" s="4" t="s">
        <v>159</v>
      </c>
      <c r="J1" s="4" t="s">
        <v>160</v>
      </c>
      <c r="K1" s="4" t="s">
        <v>161</v>
      </c>
    </row>
    <row r="2" customFormat="false" ht="42" hidden="false" customHeight="true" outlineLevel="0" collapsed="false">
      <c r="A2" s="3" t="s">
        <v>162</v>
      </c>
      <c r="B2" s="6" t="n">
        <v>0.1</v>
      </c>
      <c r="C2" s="6" t="n">
        <v>0.07</v>
      </c>
      <c r="D2" s="2" t="s">
        <v>163</v>
      </c>
      <c r="E2" s="7" t="n">
        <v>3</v>
      </c>
      <c r="F2" s="7" t="n">
        <v>-3</v>
      </c>
      <c r="G2" s="8" t="n">
        <f aca="false">E2+F2</f>
        <v>0</v>
      </c>
      <c r="H2" s="9" t="n">
        <f aca="false">B2*G2</f>
        <v>0</v>
      </c>
      <c r="I2" s="10" t="n">
        <v>0</v>
      </c>
      <c r="J2" s="9" t="n">
        <f aca="false">H2*(1-I2)</f>
        <v>0</v>
      </c>
      <c r="K2" s="11" t="s">
        <v>164</v>
      </c>
    </row>
    <row r="3" customFormat="false" ht="42" hidden="false" customHeight="true" outlineLevel="0" collapsed="false">
      <c r="A3" s="3" t="s">
        <v>51</v>
      </c>
      <c r="B3" s="6" t="n">
        <v>0.222</v>
      </c>
      <c r="C3" s="6" t="n">
        <v>0.15</v>
      </c>
      <c r="D3" s="2" t="s">
        <v>165</v>
      </c>
      <c r="E3" s="7" t="n">
        <v>5</v>
      </c>
      <c r="F3" s="7" t="n">
        <v>0</v>
      </c>
      <c r="G3" s="8" t="n">
        <f aca="false">E3+F3</f>
        <v>5</v>
      </c>
      <c r="H3" s="9" t="n">
        <f aca="false">B3*G3</f>
        <v>1.11</v>
      </c>
      <c r="I3" s="10" t="n">
        <v>0.6</v>
      </c>
      <c r="J3" s="9" t="n">
        <f aca="false">H3*(1-I3)</f>
        <v>0.444</v>
      </c>
      <c r="K3" s="11" t="s">
        <v>166</v>
      </c>
    </row>
    <row r="4" customFormat="false" ht="42" hidden="false" customHeight="true" outlineLevel="0" collapsed="false">
      <c r="A4" s="3" t="s">
        <v>64</v>
      </c>
      <c r="B4" s="6" t="n">
        <v>0.088</v>
      </c>
      <c r="C4" s="6" t="n">
        <v>0.1</v>
      </c>
      <c r="D4" s="2" t="s">
        <v>167</v>
      </c>
      <c r="E4" s="7" t="n">
        <v>2</v>
      </c>
      <c r="F4" s="7" t="n">
        <v>0</v>
      </c>
      <c r="G4" s="8" t="n">
        <f aca="false">E4+F4</f>
        <v>2</v>
      </c>
      <c r="H4" s="9" t="n">
        <f aca="false">B4*G4</f>
        <v>0.176</v>
      </c>
      <c r="I4" s="10" t="n">
        <v>0.5</v>
      </c>
      <c r="J4" s="9" t="n">
        <f aca="false">H4*(1-I4)</f>
        <v>0.088</v>
      </c>
      <c r="K4" s="11" t="s">
        <v>168</v>
      </c>
    </row>
    <row r="5" customFormat="false" ht="42" hidden="false" customHeight="true" outlineLevel="0" collapsed="false">
      <c r="A5" s="3" t="s">
        <v>71</v>
      </c>
      <c r="B5" s="6" t="n">
        <v>0.12</v>
      </c>
      <c r="C5" s="6" t="n">
        <v>0</v>
      </c>
      <c r="D5" s="2" t="s">
        <v>169</v>
      </c>
      <c r="E5" s="7" t="n">
        <v>1.5</v>
      </c>
      <c r="F5" s="7" t="n">
        <v>0</v>
      </c>
      <c r="G5" s="8" t="n">
        <f aca="false">E5+F5</f>
        <v>1.5</v>
      </c>
      <c r="H5" s="9" t="n">
        <f aca="false">B5*G5</f>
        <v>0.18</v>
      </c>
      <c r="I5" s="10" t="n">
        <v>0.5</v>
      </c>
      <c r="J5" s="9" t="n">
        <f aca="false">H5*(1-I5)</f>
        <v>0.09</v>
      </c>
      <c r="K5" s="11" t="s">
        <v>170</v>
      </c>
    </row>
    <row r="7" customFormat="false" ht="15" hidden="false" customHeight="false" outlineLevel="0" collapsed="false">
      <c r="A7" s="1" t="s">
        <v>171</v>
      </c>
      <c r="H7" s="12" t="n">
        <f aca="false">SUM(H2:H5)</f>
        <v>1.466</v>
      </c>
      <c r="J7" s="12" t="n">
        <f aca="false">SUM(J2:J5)</f>
        <v>0.622</v>
      </c>
    </row>
    <row r="9" customFormat="false" ht="15" hidden="false" customHeight="false" outlineLevel="0" collapsed="false">
      <c r="A9" s="1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4" t="s">
        <v>173</v>
      </c>
      <c r="B1" s="4" t="s">
        <v>174</v>
      </c>
      <c r="C1" s="4" t="s">
        <v>175</v>
      </c>
      <c r="D1" s="4" t="s">
        <v>176</v>
      </c>
      <c r="E1" s="4" t="s">
        <v>177</v>
      </c>
    </row>
    <row r="2" customFormat="false" ht="15" hidden="false" customHeight="false" outlineLevel="0" collapsed="false">
      <c r="A2" s="14" t="s">
        <v>178</v>
      </c>
      <c r="B2" s="14" t="s">
        <v>179</v>
      </c>
      <c r="C2" s="14" t="s">
        <v>180</v>
      </c>
      <c r="D2" s="14" t="s">
        <v>181</v>
      </c>
      <c r="E2" s="14" t="s">
        <v>182</v>
      </c>
    </row>
    <row r="3" customFormat="false" ht="23.85" hidden="false" customHeight="false" outlineLevel="0" collapsed="false">
      <c r="A3" s="14" t="s">
        <v>183</v>
      </c>
      <c r="B3" s="14" t="s">
        <v>184</v>
      </c>
      <c r="C3" s="14" t="s">
        <v>185</v>
      </c>
      <c r="D3" s="14" t="s">
        <v>186</v>
      </c>
      <c r="E3" s="14" t="s">
        <v>187</v>
      </c>
    </row>
    <row r="4" customFormat="false" ht="23.85" hidden="false" customHeight="false" outlineLevel="0" collapsed="false">
      <c r="A4" s="14" t="s">
        <v>188</v>
      </c>
      <c r="B4" s="14" t="s">
        <v>189</v>
      </c>
      <c r="C4" s="14" t="s">
        <v>190</v>
      </c>
      <c r="D4" s="14" t="s">
        <v>191</v>
      </c>
      <c r="E4" s="14" t="s">
        <v>192</v>
      </c>
    </row>
    <row r="5" customFormat="false" ht="15" hidden="false" customHeight="false" outlineLevel="0" collapsed="false">
      <c r="A5" s="14" t="s">
        <v>193</v>
      </c>
      <c r="B5" s="14" t="s">
        <v>194</v>
      </c>
      <c r="C5" s="14" t="s">
        <v>189</v>
      </c>
      <c r="D5" s="14" t="s">
        <v>195</v>
      </c>
      <c r="E5" s="14" t="s">
        <v>196</v>
      </c>
    </row>
    <row r="6" customFormat="false" ht="15" hidden="false" customHeight="false" outlineLevel="0" collapsed="false">
      <c r="A6" s="14" t="s">
        <v>197</v>
      </c>
      <c r="B6" s="14" t="s">
        <v>194</v>
      </c>
      <c r="C6" s="14" t="s">
        <v>198</v>
      </c>
      <c r="D6" s="14" t="s">
        <v>199</v>
      </c>
      <c r="E6" s="14" t="s">
        <v>200</v>
      </c>
    </row>
    <row r="8" customFormat="false" ht="15" hidden="false" customHeight="false" outlineLevel="0" collapsed="false">
      <c r="A8" s="1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 t="s">
        <v>202</v>
      </c>
      <c r="B1" s="4" t="s">
        <v>203</v>
      </c>
      <c r="C1" s="4" t="s">
        <v>204</v>
      </c>
      <c r="D1" s="4" t="s">
        <v>205</v>
      </c>
    </row>
    <row r="2" customFormat="false" ht="23.85" hidden="false" customHeight="false" outlineLevel="0" collapsed="false">
      <c r="A2" s="14" t="s">
        <v>206</v>
      </c>
      <c r="B2" s="14" t="s">
        <v>207</v>
      </c>
      <c r="C2" s="14" t="s">
        <v>208</v>
      </c>
      <c r="D2" s="14" t="s">
        <v>209</v>
      </c>
    </row>
    <row r="3" customFormat="false" ht="23.85" hidden="false" customHeight="false" outlineLevel="0" collapsed="false">
      <c r="A3" s="14" t="s">
        <v>210</v>
      </c>
      <c r="B3" s="14" t="s">
        <v>211</v>
      </c>
      <c r="C3" s="14" t="s">
        <v>212</v>
      </c>
      <c r="D3" s="14" t="s">
        <v>213</v>
      </c>
    </row>
    <row r="4" customFormat="false" ht="23.85" hidden="false" customHeight="false" outlineLevel="0" collapsed="false">
      <c r="A4" s="14" t="s">
        <v>214</v>
      </c>
      <c r="B4" s="14" t="s">
        <v>215</v>
      </c>
      <c r="C4" s="14" t="s">
        <v>216</v>
      </c>
      <c r="D4" s="14" t="s">
        <v>217</v>
      </c>
    </row>
    <row r="5" customFormat="false" ht="23.85" hidden="false" customHeight="false" outlineLevel="0" collapsed="false">
      <c r="A5" s="14" t="s">
        <v>218</v>
      </c>
      <c r="B5" s="14" t="s">
        <v>219</v>
      </c>
      <c r="C5" s="14" t="s">
        <v>220</v>
      </c>
      <c r="D5" s="14" t="s">
        <v>221</v>
      </c>
    </row>
    <row r="6" customFormat="false" ht="23.85" hidden="false" customHeight="false" outlineLevel="0" collapsed="false">
      <c r="A6" s="14" t="s">
        <v>222</v>
      </c>
      <c r="B6" s="14" t="s">
        <v>223</v>
      </c>
      <c r="C6" s="14" t="s">
        <v>224</v>
      </c>
      <c r="D6" s="14" t="s">
        <v>225</v>
      </c>
    </row>
    <row r="7" customFormat="false" ht="23.85" hidden="false" customHeight="false" outlineLevel="0" collapsed="false">
      <c r="A7" s="14" t="s">
        <v>226</v>
      </c>
      <c r="B7" s="14" t="s">
        <v>227</v>
      </c>
      <c r="C7" s="14" t="s">
        <v>228</v>
      </c>
      <c r="D7" s="14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2026-09-23T14:16:16Z</dcterms:created>
  <dc:creator>openpyxl</dc:creator>
  <dc:description/>
  <dc:language>en-US</dc:language>
  <cp:lastModifiedBy/>
  <dcterms:modified xsi:type="dcterms:W3CDTF">2026-09-23T14:16:16Z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
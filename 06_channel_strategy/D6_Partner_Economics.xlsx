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artner_ramp" sheetId="3" state="visible" r:id="rId5"/>
    <sheet name="Channel_PL" sheetId="4" state="visible" r:id="rId6"/>
    <sheet name="GM_floor" sheetId="5" state="visible" r:id="rId7"/>
    <sheet name="Breakeven" sheetId="6" state="visible" r:id="rId8"/>
    <sheet name="Inject3" sheetId="7" state="visible" r:id="rId9"/>
    <sheet name="Partners_14" sheetId="8" state="visible" r:id="rId10"/>
    <sheet name="Prospects_12" sheetId="9" state="visible" r:id="rId11"/>
    <sheet name="Risk_sim" sheetId="10" state="visible" r:id="rId12"/>
    <sheet name="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<sst xmlns="http://schemas.openxmlformats.org/spreadsheetml/2006/main" count="350" uniqueCount="290">
  <si>
    <t xml:space="preserve">D6 PARTNER ECONOMICS WORKBOOK</t>
  </si>
  <si>
    <t xml:space="preserve">Company</t>
  </si>
  <si>
    <t xml:space="preserve">Strata Sense is fictional; synthetic data (MBA capstone).</t>
  </si>
  <si>
    <t xml:space="preserve">Colour code</t>
  </si>
  <si>
    <t xml:space="preserve">Blue = input; yellow = key assumption; black = formula; green = link.</t>
  </si>
  <si>
    <t xml:space="preserve">Sheets</t>
  </si>
  <si>
    <t xml:space="preserve">Inputs · Partner_ramp (active partners and partner-sourced ARR) · Channel_PL · GM_floor · Breakeven · Inject3 · Partners_14 · Prospects_12 · Checks</t>
  </si>
  <si>
    <t xml:space="preserve">Sources</t>
  </si>
  <si>
    <t xml:space="preserve">DR6 partner file; D1 (partner win rates by region, FY26 partner-sourced ARR ₹2.6 cr); D2 (FY27 partner target); D4 base scenario (FY28–29 new-logo); DR3 (gross margin, S&amp;M).</t>
  </si>
  <si>
    <t xml:space="preserve">No double counting</t>
  </si>
  <si>
    <t xml:space="preserve">A partner-sourced deal worked by an AE is counted once in bookings, as partner-sourced. The AE receives 50% quota credit (comp only, not bookings).</t>
  </si>
  <si>
    <t xml:space="preserve">Inputs</t>
  </si>
  <si>
    <t xml:space="preserve">Input</t>
  </si>
  <si>
    <t xml:space="preserve">FY27</t>
  </si>
  <si>
    <t xml:space="preserve">FY28</t>
  </si>
  <si>
    <t xml:space="preserve">FY29</t>
  </si>
  <si>
    <t xml:space="preserve">Source / note</t>
  </si>
  <si>
    <t xml:space="preserve">Total new-logo ARR in plan (₹ cr)</t>
  </si>
  <si>
    <t xml:space="preserve">D2 (FY27); D4 base scenario (FY28–29)</t>
  </si>
  <si>
    <t xml:space="preserve">Target partner-sourced share of new-logo ARR</t>
  </si>
  <si>
    <t xml:space="preserve">Board objective 5 (FY29)</t>
  </si>
  <si>
    <t xml:space="preserve">Productivity of a mature active partner (₹ cr sourced ARR / yr)</t>
  </si>
  <si>
    <t xml:space="preserve">Assumption: ~10 qualified opps × 34% win (SEA partner deals, D1) × ₹37 lakh partner deal (FY26)</t>
  </si>
  <si>
    <t xml:space="preserve">Ramp: activation-year productivity (share of mature)</t>
  </si>
  <si>
    <t xml:space="preserve">Assumption: activated mid-year on average, first deal after 6–9 months (half a year at 30%)</t>
  </si>
  <si>
    <t xml:space="preserve">Ramp: second-year productivity (share of mature)</t>
  </si>
  <si>
    <t xml:space="preserve">Assumption; 100% from the third year</t>
  </si>
  <si>
    <t xml:space="preserve">Existing active partners' sourced ARR (₹ cr)</t>
  </si>
  <si>
    <t xml:space="preserve">FY26 actual (D1, after re-tagging)</t>
  </si>
  <si>
    <t xml:space="preserve">Blended gross margin before partner margin</t>
  </si>
  <si>
    <t xml:space="preserve">DR3 FY26</t>
  </si>
  <si>
    <t xml:space="preserve">Direct S&amp;M cost per ₹1 of new-logo ARR</t>
  </si>
  <si>
    <t xml:space="preserve">DR3: ~70% of ₹96 cr S&amp;M ÷ ₹41 cr new-logo ARR (allocation assumption)</t>
  </si>
  <si>
    <t xml:space="preserve">Direct effort still needed on partner deals (share)</t>
  </si>
  <si>
    <t xml:space="preserve">AE co-sell and SE support; falls as partners certify</t>
  </si>
  <si>
    <t xml:space="preserve">Mix: referral / resell / gold (share of partner ARR)</t>
  </si>
  <si>
    <t xml:space="preserve">30/50/20</t>
  </si>
  <si>
    <t xml:space="preserve">25/50/25</t>
  </si>
  <si>
    <t xml:space="preserve">20/50/30</t>
  </si>
  <si>
    <t xml:space="preserve">Design choice</t>
  </si>
  <si>
    <t xml:space="preserve">PROGRAMME ECONOMICS</t>
  </si>
  <si>
    <t xml:space="preserve">Role / tier</t>
  </si>
  <si>
    <t xml:space="preserve">Year-1 margin</t>
  </si>
  <si>
    <t xml:space="preserve">Renewal margin (yrs 2–3)</t>
  </si>
  <si>
    <t xml:space="preserve">Share FY27</t>
  </si>
  <si>
    <t xml:space="preserve">Share FY28</t>
  </si>
  <si>
    <t xml:space="preserve">Share FY29</t>
  </si>
  <si>
    <t xml:space="preserve">Referral (registered)</t>
  </si>
  <si>
    <t xml:space="preserve">Silver (resell / co-sell)</t>
  </si>
  <si>
    <t xml:space="preserve">Gold (resell + certified services)</t>
  </si>
  <si>
    <t xml:space="preserve">Blended year-1 margin FY27 / FY28 / FY29</t>
  </si>
  <si>
    <t xml:space="preserve">Blended renewal margin FY27 / FY28 / FY29</t>
  </si>
  <si>
    <t xml:space="preserve">CHANNEL TEAM AND PROGRAMME COSTS (₹ cr / yr)</t>
  </si>
  <si>
    <t xml:space="preserve">Item</t>
  </si>
  <si>
    <t xml:space="preserve">Note</t>
  </si>
  <si>
    <t xml:space="preserve">VP Channel</t>
  </si>
  <si>
    <t xml:space="preserve">1 role (vacant today)</t>
  </si>
  <si>
    <t xml:space="preserve">Partner managers (count)</t>
  </si>
  <si>
    <t xml:space="preserve">FY27: 2 SEA; within 6 channel roles</t>
  </si>
  <si>
    <t xml:space="preserve">Cost per partner manager</t>
  </si>
  <si>
    <t xml:space="preserve">HR benchmark ₹38–45 lakh (DR3), inflated</t>
  </si>
  <si>
    <t xml:space="preserve">Enablement and certification</t>
  </si>
  <si>
    <t xml:space="preserve">Training, demo kits</t>
  </si>
  <si>
    <t xml:space="preserve">PRM / deal-registration tool</t>
  </si>
  <si>
    <t xml:space="preserve">Partner marketing (MDF)</t>
  </si>
  <si>
    <t xml:space="preserve">FY27 from the ₹24 cr programme budget (D2)</t>
  </si>
  <si>
    <t xml:space="preserve">Channel fixed cost (₹ cr)</t>
  </si>
  <si>
    <t xml:space="preserve">Active partners and partner-sourced ARR</t>
  </si>
  <si>
    <t xml:space="preserve">Cohort ramp: recruits contribute 15% of mature productivity in the year they are activated, 60% the next year, 100% after</t>
  </si>
  <si>
    <t xml:space="preserve">Line</t>
  </si>
  <si>
    <t xml:space="preserve">New partners activated in year (count)</t>
  </si>
  <si>
    <t xml:space="preserve">FY27: 6 prospects (PR01, PR02, PR06, PR07, PR09, PR10) + P07, P10 reactivated; FY28: 3 held prospects + 6 new</t>
  </si>
  <si>
    <t xml:space="preserve">Existing partners retained (after keep/fix/exit and Inject 3)</t>
  </si>
  <si>
    <t xml:space="preserve">P02, P09, P12, P13 + P05, P11 restricted (P07, P10 counted as FY27 activations)</t>
  </si>
  <si>
    <t xml:space="preserve">Existing partners' sourced ARR after Inject 3 (₹ cr)</t>
  </si>
  <si>
    <t xml:space="preserve">ARR from FY27 recruits (₹ cr)</t>
  </si>
  <si>
    <t xml:space="preserve">ARR from FY28 recruits (₹ cr)</t>
  </si>
  <si>
    <t xml:space="preserve">ARR from FY29 recruits (₹ cr)</t>
  </si>
  <si>
    <t xml:space="preserve">Partner-sourced new-logo ARR (₹ cr)</t>
  </si>
  <si>
    <t xml:space="preserve">Share of new-logo ARR</t>
  </si>
  <si>
    <t xml:space="preserve">Active partners (count)</t>
  </si>
  <si>
    <t xml:space="preserve">Surplus / (gap) vs 25% in FY29 (₹ cr)</t>
  </si>
  <si>
    <t xml:space="preserve">Mature-equivalent partners needed for 25% in FY29</t>
  </si>
  <si>
    <t xml:space="preserve">FY29 share if mature productivity is ₹0.8 / 1.0 / 1.4 cr (recruit ARR scaled)</t>
  </si>
  <si>
    <t xml:space="preserve">Reading: the ramp is the constraint. Partners recruited in FY29 contribute little that year, so 25% depends on 17 activations in FY27–28 reaching ~₹1.2 cr each. At ₹1.0 cr the share is ~21%.</t>
  </si>
  <si>
    <t xml:space="preserve"> the ramp is the constraint. Partners recruited in FY29 contribute little that year, so the 25% goal depends on recruiting in FY27–28.</t>
  </si>
  <si>
    <t xml:space="preserve">Channel profit and loss (₹ cr)</t>
  </si>
  <si>
    <t xml:space="preserve">Two lenses: incremental (channel ARR the direct team would not win) and substitution (channel replaces direct selling cost)</t>
  </si>
  <si>
    <t xml:space="preserve">Partner-sourced new-logo ARR</t>
  </si>
  <si>
    <t xml:space="preserve">Year-1 partner margin</t>
  </si>
  <si>
    <t xml:space="preserve">Renewal margin on prior partner cohorts</t>
  </si>
  <si>
    <t xml:space="preserve">Channel fixed cost</t>
  </si>
  <si>
    <t xml:space="preserve">Direct effort still used on partner deals</t>
  </si>
  <si>
    <t xml:space="preserve">Total channel cost</t>
  </si>
  <si>
    <t xml:space="preserve">Incremental lens: first-year gross profit on partner ARR</t>
  </si>
  <si>
    <t xml:space="preserve">Incremental lens: channel profit / (loss), first year</t>
  </si>
  <si>
    <t xml:space="preserve">Substitution lens: direct S&amp;M cost avoided</t>
  </si>
  <si>
    <t xml:space="preserve">Substitution lens: saving / (extra cost) vs direct</t>
  </si>
  <si>
    <t xml:space="preserve">Three-year value of one year's partner ARR (GP × 3 − yr-1 margin − 2 yrs renewal margin), FY29 cohort</t>
  </si>
  <si>
    <t xml:space="preserve">Reading: on a first-year basis the channel loses money until partner ARR scales; on the three-year value of each cohort it pays back comfortably.</t>
  </si>
  <si>
    <t xml:space="preserve">Blended gross margin with partner margin included</t>
  </si>
  <si>
    <t xml:space="preserve">Guardrail: ≥66% every year, after partner margin. Today partner margin is booked in S&amp;M, outside gross margin.</t>
  </si>
  <si>
    <t xml:space="preserve">Total revenue (₹ cr, approx.)</t>
  </si>
  <si>
    <t xml:space="preserve">Subscription ≈ average ARR (D4 base) + hardware; D7 replaces</t>
  </si>
  <si>
    <t xml:space="preserve">Gross margin before partner margin</t>
  </si>
  <si>
    <t xml:space="preserve">Partner margin (₹ cr)</t>
  </si>
  <si>
    <t xml:space="preserve">Gross margin after partner margin</t>
  </si>
  <si>
    <t xml:space="preserve">Headroom over 66% floor (pts)</t>
  </si>
  <si>
    <t xml:space="preserve">Partner margin that would breach the floor (₹ cr)</t>
  </si>
  <si>
    <t xml:space="preserve">At what partner productivity does the channel lose money?</t>
  </si>
  <si>
    <t xml:space="preserve">FY29, at the planned number of active partners. Three lenses; the substitution lens is the decision lens.</t>
  </si>
  <si>
    <t xml:space="preserve">Active partners FY29</t>
  </si>
  <si>
    <t xml:space="preserve">Channel fixed cost FY29 (₹ cr)</t>
  </si>
  <si>
    <t xml:space="preserve">1. SUBSTITUTION (decision lens): partner deals replace direct selling</t>
  </si>
  <si>
    <t xml:space="preserve">Saving per ₹1 of partner ARR: direct S&amp;M avoided × (1 − direct effort) − year-1 partner margin</t>
  </si>
  <si>
    <t xml:space="preserve">Break-even sourced ARR per active partner (₹ cr / yr)</t>
  </si>
  <si>
    <t xml:space="preserve">Below this, the channel costs more than selling direct</t>
  </si>
  <si>
    <t xml:space="preserve">2. INCREMENTAL, THREE-YEAR: partner ARR the direct team would not have won</t>
  </si>
  <si>
    <t xml:space="preserve">Contribution per ₹1: 3 yrs gross profit − yr-1 margin − 2 yrs renewal margin − direct effort</t>
  </si>
  <si>
    <t xml:space="preserve">3. INCREMENTAL, FIRST YEAR ONLY (shown for completeness)</t>
  </si>
  <si>
    <t xml:space="preserve">Contribution per ₹1: yr-1 gross profit − yr-1 margin − direct effort</t>
  </si>
  <si>
    <t xml:space="preserve">Near-zero contribution: no subscription business pays back in year one</t>
  </si>
  <si>
    <t xml:space="preserve">FY26 actual: sourced ARR per active partner (₹ cr)</t>
  </si>
  <si>
    <t xml:space="preserve">FY26 actual: sourced ARR per signed partner (₹ cr)</t>
  </si>
  <si>
    <t xml:space="preserve">Planned mature productivity (₹ cr)</t>
  </si>
  <si>
    <t xml:space="preserve">Answer for the panel: the channel loses money if active partners average less than the substitution break-even above (about a quarter of a crore a year). FY26's active partners averaged about ₹0.5 cr, but spread across all 14 signed partners the figure falls to about ₹0.19 cr, below break-even. The risk is not the good partners; it is carrying inactive ones. Hence the exits and the two-quarter activation rule.</t>
  </si>
  <si>
    <t xml:space="preserve">Inject 3: two active partners (P05, P11) announce joint programmes with Helix</t>
  </si>
  <si>
    <t xml:space="preserve">Week 7</t>
  </si>
  <si>
    <t xml:space="preserve">Open partner-sourced pipeline, all partners (₹ cr)</t>
  </si>
  <si>
    <t xml:space="preserve">DR1 open deals, partner-sourced (re-tagged)</t>
  </si>
  <si>
    <t xml:space="preserve">  of which P05 + P11 (₹ cr)</t>
  </si>
  <si>
    <t xml:space="preserve">Share of open partner-sourced pipeline at risk</t>
  </si>
  <si>
    <t xml:space="preserve">Haircut applied to P05/P11 pipeline (assumption)</t>
  </si>
  <si>
    <t xml:space="preserve">Their deals in Helix-incumbent accounts likely switch to Helix</t>
  </si>
  <si>
    <t xml:space="preserve">Reduction to existing partners' FY27 sourced ARR</t>
  </si>
  <si>
    <t xml:space="preserve">P05+P11 were half of FY26 sourced ARR (₹1.26 of ₹2.61 cr); half of that at risk</t>
  </si>
  <si>
    <t xml:space="preserve">FY27 partner-sourced ARR before Inject 3 (D2)</t>
  </si>
  <si>
    <t xml:space="preserve">FY27 partner-sourced ARR after Inject 3 (this model)</t>
  </si>
  <si>
    <t xml:space="preserve">Gap handed to D7 (₹ cr)</t>
  </si>
  <si>
    <t xml:space="preserve">D2 direct capacity had ₹2.9 cr headroom; D7 reconciles</t>
  </si>
  <si>
    <t xml:space="preserve">Response</t>
  </si>
  <si>
    <t xml:space="preserve">P05 and P11 move to 'restricted': no deal registration in Helix-incumbent accounts; keep services and non-Helix accounts.</t>
  </si>
  <si>
    <t xml:space="preserve">Competing-product disclosure required at registration; conflict check by the channel manager within 48 hours.</t>
  </si>
  <si>
    <t xml:space="preserve">Exclusivity is not demanded (we could not enforce it); protection is earned by registered, non-conflicted deals.</t>
  </si>
  <si>
    <t xml:space="preserve">Accelerate non-Helix SEA recruits (PR01, PR02, PR06) to first-quarter onboarding; PR05, PR08, PR12 (Helix-affiliated) deprioritised.</t>
  </si>
  <si>
    <t xml:space="preserve">Review P05/P11 scorecards at the end of Q2 FY27: exit if registered-deal conversion &lt; 15% or any Helix switch on a registered deal.</t>
  </si>
  <si>
    <t xml:space="preserve">ID</t>
  </si>
  <si>
    <t xml:space="preserve">Partner</t>
  </si>
  <si>
    <t xml:space="preserve">Status</t>
  </si>
  <si>
    <t xml:space="preserve">Sourced FY26 (₹ cr)</t>
  </si>
  <si>
    <t xml:space="preserve">Influenced FY26</t>
  </si>
  <si>
    <t xml:space="preserve">Win rate FY24–26</t>
  </si>
  <si>
    <t xml:space="preserve">Open pipeline (₹ cr)</t>
  </si>
  <si>
    <t xml:space="preserve">Helix-tied</t>
  </si>
  <si>
    <t xml:space="preserve">Decision</t>
  </si>
  <si>
    <t xml:space="preserve">Reason</t>
  </si>
  <si>
    <t xml:space="preserve">P01</t>
  </si>
  <si>
    <t xml:space="preserve">Gulf Automation Services LLC</t>
  </si>
  <si>
    <t xml:space="preserve">Inactive</t>
  </si>
  <si>
    <t xml:space="preserve">No</t>
  </si>
  <si>
    <t xml:space="preserve">Exit</t>
  </si>
  <si>
    <t xml:space="preserve">Inactive since FY24; no pipeline; Gulf coverage moves to PR07/PR08 review</t>
  </si>
  <si>
    <t xml:space="preserve">P02</t>
  </si>
  <si>
    <t xml:space="preserve">Deccan Industrial Systems Pvt Ltd</t>
  </si>
  <si>
    <t xml:space="preserve">Active</t>
  </si>
  <si>
    <t xml:space="preserve">Keep: Gold</t>
  </si>
  <si>
    <t xml:space="preserve">22% win rate, ₹4.2 cr open pipeline, non-Helix, 6 certified engineers</t>
  </si>
  <si>
    <t xml:space="preserve">P03</t>
  </si>
  <si>
    <t xml:space="preserve">Coromandel Controls</t>
  </si>
  <si>
    <t xml:space="preserve">One deal in three years</t>
  </si>
  <si>
    <t xml:space="preserve">P04</t>
  </si>
  <si>
    <t xml:space="preserve">Northern Drives &amp; Automation</t>
  </si>
  <si>
    <t xml:space="preserve">No activity</t>
  </si>
  <si>
    <t xml:space="preserve">P05</t>
  </si>
  <si>
    <t xml:space="preserve">Sahyadri Automation Pvt Ltd</t>
  </si>
  <si>
    <t xml:space="preserve">Yes</t>
  </si>
  <si>
    <t xml:space="preserve">Fix: restricted</t>
  </si>
  <si>
    <t xml:space="preserve">Solid (21% win) but Helix integrator; Inject 3 → no registration in Helix-incumbent accounts</t>
  </si>
  <si>
    <t xml:space="preserve">P06</t>
  </si>
  <si>
    <t xml:space="preserve">Najd Engineering Co.</t>
  </si>
  <si>
    <t xml:space="preserve">No activity; Saudi coverage via PR07</t>
  </si>
  <si>
    <t xml:space="preserve">P07</t>
  </si>
  <si>
    <t xml:space="preserve">Mekong Industrial Tech</t>
  </si>
  <si>
    <t xml:space="preserve">Signed, no deals</t>
  </si>
  <si>
    <t xml:space="preserve">Fix: 2-quarter activation</t>
  </si>
  <si>
    <t xml:space="preserve">Vietnam access; certify 2 engineers by Q2 or exit</t>
  </si>
  <si>
    <t xml:space="preserve">P08</t>
  </si>
  <si>
    <t xml:space="preserve">Hosur Machine Builders</t>
  </si>
  <si>
    <t xml:space="preserve">Fix: OEM pilot</t>
  </si>
  <si>
    <t xml:space="preserve">Machine-builder embed pilot alongside PR09/PR10</t>
  </si>
  <si>
    <t xml:space="preserve">P09</t>
  </si>
  <si>
    <t xml:space="preserve">Vindhya Reliability Services</t>
  </si>
  <si>
    <t xml:space="preserve">Keep: Gold (services)</t>
  </si>
  <si>
    <t xml:space="preserve">Reliability MSP; ₹7.1 cr open pipeline; strongest influence partner</t>
  </si>
  <si>
    <t xml:space="preserve">P10</t>
  </si>
  <si>
    <t xml:space="preserve">Penang Plant Solutions Sdn Bhd</t>
  </si>
  <si>
    <t xml:space="preserve">Malaysia access; joint pipeline plan by Q2 or exit</t>
  </si>
  <si>
    <t xml:space="preserve">P11</t>
  </si>
  <si>
    <t xml:space="preserve">Konkan Process Automation Ltd</t>
  </si>
  <si>
    <t xml:space="preserve">Fix: probation</t>
  </si>
  <si>
    <t xml:space="preserve">Most volume but 13% win rate; Helix gold partner (Inject 3); referral-only until scorecard met</t>
  </si>
  <si>
    <t xml:space="preserve">P12</t>
  </si>
  <si>
    <t xml:space="preserve">Siam Reliability Co.</t>
  </si>
  <si>
    <t xml:space="preserve">Occasional</t>
  </si>
  <si>
    <t xml:space="preserve">Keep: Silver, grow</t>
  </si>
  <si>
    <t xml:space="preserve">Thailand; SEA partner deals win 34%</t>
  </si>
  <si>
    <t xml:space="preserve">P13</t>
  </si>
  <si>
    <t xml:space="preserve">Al Fajr Industrial Services</t>
  </si>
  <si>
    <t xml:space="preserve">Keep: Silver</t>
  </si>
  <si>
    <t xml:space="preserve">Gulf access; occasional</t>
  </si>
  <si>
    <t xml:space="preserve">P14</t>
  </si>
  <si>
    <t xml:space="preserve">Ganga Electricals</t>
  </si>
  <si>
    <t xml:space="preserve">Prospective partners: scored shortlist</t>
  </si>
  <si>
    <t xml:space="preserve">Weights in row 4 (blue). Scores 1–5. Conflict: Helix-affiliated = 1.</t>
  </si>
  <si>
    <t xml:space="preserve">Prospect</t>
  </si>
  <si>
    <t xml:space="preserve">Type</t>
  </si>
  <si>
    <t xml:space="preserve">Region</t>
  </si>
  <si>
    <t xml:space="preserve">Access (overlap, priority region)</t>
  </si>
  <si>
    <t xml:space="preserve">Capability (engineers)</t>
  </si>
  <si>
    <t xml:space="preserve">Vertical fit</t>
  </si>
  <si>
    <t xml:space="preserve">Conflict risk (5 = none)</t>
  </si>
  <si>
    <t xml:space="preserve">Commitment</t>
  </si>
  <si>
    <t xml:space="preserve">Weighted score</t>
  </si>
  <si>
    <t xml:space="preserve">Rank</t>
  </si>
  <si>
    <t xml:space="preserve">Weights</t>
  </si>
  <si>
    <t xml:space="preserve">PR01</t>
  </si>
  <si>
    <t xml:space="preserve">Java Integrasi Teknik</t>
  </si>
  <si>
    <t xml:space="preserve">System integrator</t>
  </si>
  <si>
    <t xml:space="preserve">SEA (Indonesia)</t>
  </si>
  <si>
    <t xml:space="preserve">PR02</t>
  </si>
  <si>
    <t xml:space="preserve">Chao Phraya Automation Co.</t>
  </si>
  <si>
    <t xml:space="preserve">SEA (Thailand)</t>
  </si>
  <si>
    <t xml:space="preserve">PR03</t>
  </si>
  <si>
    <t xml:space="preserve">Saigon Reliability JSC</t>
  </si>
  <si>
    <t xml:space="preserve">Managed-service provider</t>
  </si>
  <si>
    <t xml:space="preserve">SEA (Vietnam)</t>
  </si>
  <si>
    <t xml:space="preserve">PR04</t>
  </si>
  <si>
    <t xml:space="preserve">Luzon Plant Services Inc.</t>
  </si>
  <si>
    <t xml:space="preserve">SEA (Philippines)</t>
  </si>
  <si>
    <t xml:space="preserve">PR05</t>
  </si>
  <si>
    <t xml:space="preserve">Malacca Automation Sdn Bhd</t>
  </si>
  <si>
    <t xml:space="preserve">Automation distributor</t>
  </si>
  <si>
    <t xml:space="preserve">SEA (Malaysia)</t>
  </si>
  <si>
    <t xml:space="preserve">PR06</t>
  </si>
  <si>
    <t xml:space="preserve">Merlion Industrial Pte Ltd</t>
  </si>
  <si>
    <t xml:space="preserve">Value-added reseller</t>
  </si>
  <si>
    <t xml:space="preserve">SEA regional (Singapore HQ)</t>
  </si>
  <si>
    <t xml:space="preserve">PR07</t>
  </si>
  <si>
    <t xml:space="preserve">Arabian Asset Care Co.</t>
  </si>
  <si>
    <t xml:space="preserve">Middle East (Saudi Arabia)</t>
  </si>
  <si>
    <t xml:space="preserve">PR08</t>
  </si>
  <si>
    <t xml:space="preserve">Emirates Crest Engineering LLC</t>
  </si>
  <si>
    <t xml:space="preserve">Middle East (UAE)</t>
  </si>
  <si>
    <t xml:space="preserve">PR09</t>
  </si>
  <si>
    <t xml:space="preserve">Tapti Press Machines Ltd</t>
  </si>
  <si>
    <t xml:space="preserve">Machine builder (OEM embed)</t>
  </si>
  <si>
    <t xml:space="preserve">India (national)</t>
  </si>
  <si>
    <t xml:space="preserve">PR10</t>
  </si>
  <si>
    <t xml:space="preserve">Shivalik Compressors Ltd</t>
  </si>
  <si>
    <t xml:space="preserve">PR11</t>
  </si>
  <si>
    <t xml:space="preserve">Narmada Reliability Services</t>
  </si>
  <si>
    <t xml:space="preserve">India-East</t>
  </si>
  <si>
    <t xml:space="preserve">PR12</t>
  </si>
  <si>
    <t xml:space="preserve">Nilgiri Drives Pvt Ltd</t>
  </si>
  <si>
    <t xml:space="preserve">India-South</t>
  </si>
  <si>
    <t xml:space="preserve">How likely is the channel to lose money? Monte Carlo, 20,000 runs</t>
  </si>
  <si>
    <t xml:space="preserve">Values pasted from risk_sim.py (plan case) and risk_sim_down.py (FY26-like partners). Loss = partner ARR below substitution break-even.</t>
  </si>
  <si>
    <t xml:space="preserve">Case / year</t>
  </si>
  <si>
    <t xml:space="preserve">P10 partner ARR</t>
  </si>
  <si>
    <t xml:space="preserve">P50</t>
  </si>
  <si>
    <t xml:space="preserve">P90</t>
  </si>
  <si>
    <t xml:space="preserve">Break-even ARR</t>
  </si>
  <si>
    <t xml:space="preserve">P(channel loses money)</t>
  </si>
  <si>
    <t xml:space="preserve">P(share ≥ 25%)</t>
  </si>
  <si>
    <t xml:space="preserve">Median share</t>
  </si>
  <si>
    <t xml:space="preserve">Plan case: 70% activation, median ₹1.0 cr / partner</t>
  </si>
  <si>
    <t xml:space="preserve">  FY27</t>
  </si>
  <si>
    <t xml:space="preserve">  FY28</t>
  </si>
  <si>
    <t xml:space="preserve">  FY29</t>
  </si>
  <si>
    <t xml:space="preserve">Downside: FY26-like partners, 45% activation, median ₹0.45 cr</t>
  </si>
  <si>
    <t xml:space="preserve">Reading: FY27 loses money by design (~₹0.9 cr). With selected SEA/Gulf partners the loss risk falls to ~9% in FY28 and under 1% in FY29, but 25% in FY29 is a coin flip (46%). If recruits behave like FY26 India partners, the channel loses money in FY28 and has a 44% chance of doing so in FY29. The kill gate (Q2 FY28) stops that path.</t>
  </si>
  <si>
    <t xml:space="preserve">Check</t>
  </si>
  <si>
    <t xml:space="preserve">Value</t>
  </si>
  <si>
    <t xml:space="preserve">OK?</t>
  </si>
  <si>
    <t xml:space="preserve">FY29 partner share ≥ 25%</t>
  </si>
  <si>
    <t xml:space="preserve">Blended GM after partner margin ≥ 66% (min of 3 years)</t>
  </si>
  <si>
    <t xml:space="preserve">Channel roles in FY27 ≤ 6 (VP + partner managers)</t>
  </si>
  <si>
    <t xml:space="preserve">Tier shares sum to 100% each year</t>
  </si>
  <si>
    <t xml:space="preserve">Inject 3 gap handed to D7 is non-negative (model not more optimistic than D2)</t>
  </si>
  <si>
    <t xml:space="preserve">FY27 channel fixed cost within Inject 1 allocation (₹2.84 cr incl. incentives, excl. MDF)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</si>
</sst>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0"/>
    <numFmt numFmtId="168" formatCode="0.00;\(0.00\);\-"/>
    <numFmt numFmtId="169" formatCode="0.0"/>
    <numFmt numFmtId="170" formatCode="0.000"/>
    <numFmt numFmtId="171" formatCode="0%"/>
    <numFmt numFmtId="172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514E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23.8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  <row r="6" customFormat="false" ht="23.85" hidden="false" customHeight="false" outlineLevel="0" collapsed="false">
      <c r="A6" s="3" t="s">
        <v>9</v>
      </c>
      <c r="B6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2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4" t="s">
        <v>11</v>
      </c>
    </row>
    <row r="2" customFormat="false" ht="15" hidden="false" customHeight="false" outlineLevel="0" collapsed="false">
      <c r="A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</row>
    <row r="5" customFormat="false" ht="15" hidden="false" customHeight="false" outlineLevel="0" collapsed="false">
      <c r="A5" s="3" t="s">
        <v>17</v>
      </c>
      <c r="B5" s="7" t="n">
        <v>46.5</v>
      </c>
      <c r="C5" s="7" t="n">
        <v>62.1</v>
      </c>
      <c r="D5" s="7" t="n">
        <v>78</v>
      </c>
      <c r="E5" s="8" t="s">
        <v>18</v>
      </c>
    </row>
    <row r="6" customFormat="false" ht="15" hidden="false" customHeight="false" outlineLevel="0" collapsed="false">
      <c r="A6" s="3" t="s">
        <v>19</v>
      </c>
      <c r="D6" s="9" t="n">
        <v>0.25</v>
      </c>
      <c r="E6" s="8" t="s">
        <v>20</v>
      </c>
    </row>
    <row r="7" customFormat="false" ht="15" hidden="false" customHeight="false" outlineLevel="0" collapsed="false">
      <c r="A7" s="3" t="s">
        <v>21</v>
      </c>
      <c r="B7" s="10" t="n">
        <v>1.2</v>
      </c>
      <c r="C7" s="10" t="n">
        <v>1.2</v>
      </c>
      <c r="D7" s="10" t="n">
        <v>1.2</v>
      </c>
      <c r="E7" s="8" t="s">
        <v>22</v>
      </c>
    </row>
    <row r="8" customFormat="false" ht="15" hidden="false" customHeight="false" outlineLevel="0" collapsed="false">
      <c r="A8" s="3" t="s">
        <v>23</v>
      </c>
      <c r="B8" s="11" t="n">
        <v>0.15</v>
      </c>
      <c r="C8" s="11" t="n">
        <v>0.15</v>
      </c>
      <c r="D8" s="11" t="n">
        <v>0.15</v>
      </c>
      <c r="E8" s="8" t="s">
        <v>24</v>
      </c>
    </row>
    <row r="9" customFormat="false" ht="15" hidden="false" customHeight="false" outlineLevel="0" collapsed="false">
      <c r="A9" s="3" t="s">
        <v>25</v>
      </c>
      <c r="B9" s="11" t="n">
        <v>0.6</v>
      </c>
      <c r="C9" s="11" t="n">
        <v>0.6</v>
      </c>
      <c r="D9" s="11" t="n">
        <v>0.6</v>
      </c>
      <c r="E9" s="8" t="s">
        <v>26</v>
      </c>
    </row>
    <row r="10" customFormat="false" ht="15" hidden="false" customHeight="false" outlineLevel="0" collapsed="false">
      <c r="A10" s="3" t="s">
        <v>27</v>
      </c>
      <c r="B10" s="7" t="n">
        <v>2.6</v>
      </c>
      <c r="C10" s="7" t="n">
        <v>2.6</v>
      </c>
      <c r="D10" s="7" t="n">
        <v>2.6</v>
      </c>
      <c r="E10" s="8" t="s">
        <v>28</v>
      </c>
    </row>
    <row r="11" customFormat="false" ht="15" hidden="false" customHeight="false" outlineLevel="0" collapsed="false">
      <c r="A11" s="3" t="s">
        <v>29</v>
      </c>
      <c r="B11" s="9" t="n">
        <v>0.683</v>
      </c>
      <c r="C11" s="9" t="n">
        <v>0.683</v>
      </c>
      <c r="D11" s="9" t="n">
        <v>0.683</v>
      </c>
      <c r="E11" s="8" t="s">
        <v>30</v>
      </c>
    </row>
    <row r="12" customFormat="false" ht="15" hidden="false" customHeight="false" outlineLevel="0" collapsed="false">
      <c r="A12" s="3" t="s">
        <v>31</v>
      </c>
      <c r="B12" s="10" t="n">
        <v>1.64</v>
      </c>
      <c r="C12" s="10" t="n">
        <v>1.64</v>
      </c>
      <c r="D12" s="10" t="n">
        <v>1.64</v>
      </c>
      <c r="E12" s="8" t="s">
        <v>32</v>
      </c>
    </row>
    <row r="13" customFormat="false" ht="15" hidden="false" customHeight="false" outlineLevel="0" collapsed="false">
      <c r="A13" s="3" t="s">
        <v>33</v>
      </c>
      <c r="B13" s="11" t="n">
        <v>0.4</v>
      </c>
      <c r="C13" s="11" t="n">
        <v>0.35</v>
      </c>
      <c r="D13" s="11" t="n">
        <v>0.3</v>
      </c>
      <c r="E13" s="8" t="s">
        <v>34</v>
      </c>
    </row>
    <row r="14" customFormat="false" ht="15" hidden="false" customHeight="false" outlineLevel="0" collapsed="false">
      <c r="A14" s="3" t="s">
        <v>35</v>
      </c>
      <c r="B14" s="12" t="s">
        <v>36</v>
      </c>
      <c r="C14" s="12" t="s">
        <v>37</v>
      </c>
      <c r="D14" s="12" t="s">
        <v>38</v>
      </c>
      <c r="E14" s="8" t="s">
        <v>39</v>
      </c>
    </row>
    <row r="17" customFormat="false" ht="15" hidden="false" customHeight="false" outlineLevel="0" collapsed="false">
      <c r="A17" s="1" t="s">
        <v>40</v>
      </c>
    </row>
    <row r="18" customFormat="false" ht="35.05" hidden="false" customHeight="false" outlineLevel="0" collapsed="false">
      <c r="A18" s="6" t="s">
        <v>41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46</v>
      </c>
    </row>
    <row r="19" customFormat="false" ht="15" hidden="false" customHeight="false" outlineLevel="0" collapsed="false">
      <c r="A19" s="3" t="s">
        <v>47</v>
      </c>
      <c r="B19" s="9" t="n">
        <v>0.1</v>
      </c>
      <c r="C19" s="9" t="n">
        <v>0</v>
      </c>
      <c r="D19" s="9" t="n">
        <v>0.3</v>
      </c>
      <c r="E19" s="9" t="n">
        <v>0.25</v>
      </c>
      <c r="F19" s="9" t="n">
        <v>0.2</v>
      </c>
    </row>
    <row r="20" customFormat="false" ht="15" hidden="false" customHeight="false" outlineLevel="0" collapsed="false">
      <c r="A20" s="3" t="s">
        <v>48</v>
      </c>
      <c r="B20" s="9" t="n">
        <v>0.18</v>
      </c>
      <c r="C20" s="9" t="n">
        <v>0.08</v>
      </c>
      <c r="D20" s="9" t="n">
        <v>0.5</v>
      </c>
      <c r="E20" s="9" t="n">
        <v>0.5</v>
      </c>
      <c r="F20" s="9" t="n">
        <v>0.5</v>
      </c>
    </row>
    <row r="21" customFormat="false" ht="15" hidden="false" customHeight="false" outlineLevel="0" collapsed="false">
      <c r="A21" s="3" t="s">
        <v>49</v>
      </c>
      <c r="B21" s="9" t="n">
        <v>0.22</v>
      </c>
      <c r="C21" s="9" t="n">
        <v>0.1</v>
      </c>
      <c r="D21" s="9" t="n">
        <v>0.2</v>
      </c>
      <c r="E21" s="9" t="n">
        <v>0.25</v>
      </c>
      <c r="F21" s="9" t="n">
        <v>0.3</v>
      </c>
    </row>
    <row r="22" customFormat="false" ht="15" hidden="false" customHeight="false" outlineLevel="0" collapsed="false">
      <c r="A22" s="3" t="s">
        <v>50</v>
      </c>
      <c r="D22" s="13" t="n">
        <f aca="false">SUMPRODUCT($B$19:$B$21,D19:D21)</f>
        <v>0.164</v>
      </c>
      <c r="E22" s="13" t="n">
        <f aca="false">SUMPRODUCT($B$19:$B$21,E19:E21)</f>
        <v>0.17</v>
      </c>
      <c r="F22" s="13" t="n">
        <f aca="false">SUMPRODUCT($B$19:$B$21,F19:F21)</f>
        <v>0.176</v>
      </c>
    </row>
    <row r="23" customFormat="false" ht="15" hidden="false" customHeight="false" outlineLevel="0" collapsed="false">
      <c r="A23" s="3" t="s">
        <v>51</v>
      </c>
      <c r="D23" s="13" t="n">
        <f aca="false">SUMPRODUCT($C$19:$C$21,D19:D21)</f>
        <v>0.06</v>
      </c>
      <c r="E23" s="13" t="n">
        <f aca="false">SUMPRODUCT($C$19:$C$21,E19:E21)</f>
        <v>0.065</v>
      </c>
      <c r="F23" s="13" t="n">
        <f aca="false">SUMPRODUCT($C$19:$C$21,F19:F21)</f>
        <v>0.07</v>
      </c>
    </row>
    <row r="25" customFormat="false" ht="15" hidden="false" customHeight="false" outlineLevel="0" collapsed="false">
      <c r="A25" s="1" t="s">
        <v>52</v>
      </c>
    </row>
    <row r="26" customFormat="false" ht="15" hidden="false" customHeight="false" outlineLevel="0" collapsed="false">
      <c r="A26" s="6" t="s">
        <v>53</v>
      </c>
      <c r="B26" s="6" t="s">
        <v>13</v>
      </c>
      <c r="C26" s="6" t="s">
        <v>14</v>
      </c>
      <c r="D26" s="6" t="s">
        <v>15</v>
      </c>
      <c r="E26" s="6" t="s">
        <v>54</v>
      </c>
    </row>
    <row r="27" customFormat="false" ht="15" hidden="false" customHeight="false" outlineLevel="0" collapsed="false">
      <c r="A27" s="3" t="s">
        <v>55</v>
      </c>
      <c r="B27" s="7" t="n">
        <v>0.9</v>
      </c>
      <c r="C27" s="7" t="n">
        <v>0.9</v>
      </c>
      <c r="D27" s="7" t="n">
        <v>0.9</v>
      </c>
      <c r="E27" s="8" t="s">
        <v>56</v>
      </c>
    </row>
    <row r="28" customFormat="false" ht="15" hidden="false" customHeight="false" outlineLevel="0" collapsed="false">
      <c r="A28" s="3" t="s">
        <v>57</v>
      </c>
      <c r="B28" s="14" t="n">
        <v>2</v>
      </c>
      <c r="C28" s="14" t="n">
        <v>4</v>
      </c>
      <c r="D28" s="14" t="n">
        <v>5</v>
      </c>
      <c r="E28" s="8" t="s">
        <v>58</v>
      </c>
    </row>
    <row r="29" customFormat="false" ht="15" hidden="false" customHeight="false" outlineLevel="0" collapsed="false">
      <c r="A29" s="3" t="s">
        <v>59</v>
      </c>
      <c r="B29" s="7" t="n">
        <v>0.42</v>
      </c>
      <c r="C29" s="7" t="n">
        <v>0.44</v>
      </c>
      <c r="D29" s="7" t="n">
        <v>0.46</v>
      </c>
      <c r="E29" s="8" t="s">
        <v>60</v>
      </c>
    </row>
    <row r="30" customFormat="false" ht="15" hidden="false" customHeight="false" outlineLevel="0" collapsed="false">
      <c r="A30" s="3" t="s">
        <v>61</v>
      </c>
      <c r="B30" s="7" t="n">
        <v>0.4</v>
      </c>
      <c r="C30" s="7" t="n">
        <v>0.5</v>
      </c>
      <c r="D30" s="7" t="n">
        <v>0.5</v>
      </c>
      <c r="E30" s="8" t="s">
        <v>62</v>
      </c>
    </row>
    <row r="31" customFormat="false" ht="15" hidden="false" customHeight="false" outlineLevel="0" collapsed="false">
      <c r="A31" s="3" t="s">
        <v>63</v>
      </c>
      <c r="B31" s="7" t="n">
        <v>0.3</v>
      </c>
      <c r="C31" s="7" t="n">
        <v>0.3</v>
      </c>
      <c r="D31" s="7" t="n">
        <v>0.3</v>
      </c>
      <c r="E31" s="8"/>
    </row>
    <row r="32" customFormat="false" ht="15" hidden="false" customHeight="false" outlineLevel="0" collapsed="false">
      <c r="A32" s="3" t="s">
        <v>64</v>
      </c>
      <c r="B32" s="7" t="n">
        <v>1.5</v>
      </c>
      <c r="C32" s="7" t="n">
        <v>2</v>
      </c>
      <c r="D32" s="7" t="n">
        <v>2.5</v>
      </c>
      <c r="E32" s="8" t="s">
        <v>65</v>
      </c>
    </row>
    <row r="33" customFormat="false" ht="15" hidden="false" customHeight="false" outlineLevel="0" collapsed="false">
      <c r="A33" s="1" t="s">
        <v>66</v>
      </c>
      <c r="B33" s="15" t="n">
        <f aca="false">B27+B28*B29+B30+B31+B32</f>
        <v>3.94</v>
      </c>
      <c r="C33" s="15" t="n">
        <f aca="false">C27+C28*C29+C30+C31+C32</f>
        <v>5.46</v>
      </c>
      <c r="D33" s="15" t="n">
        <f aca="false">D27+D28*D29+D30+D31+D32</f>
        <v>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4" t="s">
        <v>67</v>
      </c>
    </row>
    <row r="2" customFormat="false" ht="15" hidden="false" customHeight="false" outlineLevel="0" collapsed="false">
      <c r="A2" s="5" t="s">
        <v>68</v>
      </c>
    </row>
    <row r="4" customFormat="false" ht="15" hidden="false" customHeight="false" outlineLevel="0" collapsed="false">
      <c r="A4" s="6" t="s">
        <v>69</v>
      </c>
      <c r="B4" s="6" t="s">
        <v>13</v>
      </c>
      <c r="C4" s="6" t="s">
        <v>14</v>
      </c>
      <c r="D4" s="6" t="s">
        <v>15</v>
      </c>
      <c r="E4" s="6" t="s">
        <v>54</v>
      </c>
    </row>
    <row r="5" customFormat="false" ht="15" hidden="false" customHeight="false" outlineLevel="0" collapsed="false">
      <c r="A5" s="3" t="s">
        <v>70</v>
      </c>
      <c r="B5" s="16" t="n">
        <v>8</v>
      </c>
      <c r="C5" s="16" t="n">
        <v>9</v>
      </c>
      <c r="D5" s="16" t="n">
        <v>5</v>
      </c>
      <c r="E5" s="8" t="s">
        <v>71</v>
      </c>
    </row>
    <row r="6" customFormat="false" ht="15" hidden="false" customHeight="false" outlineLevel="0" collapsed="false">
      <c r="A6" s="3" t="s">
        <v>72</v>
      </c>
      <c r="B6" s="14" t="n">
        <v>6</v>
      </c>
      <c r="C6" s="14" t="n">
        <v>6</v>
      </c>
      <c r="D6" s="14" t="n">
        <v>6</v>
      </c>
      <c r="E6" s="8" t="s">
        <v>73</v>
      </c>
    </row>
    <row r="7" customFormat="false" ht="15" hidden="false" customHeight="false" outlineLevel="0" collapsed="false">
      <c r="A7" s="3" t="s">
        <v>74</v>
      </c>
      <c r="B7" s="17" t="n">
        <f aca="false">Inputs!B10*(1-Inject3!B8)</f>
        <v>2.25593391773432</v>
      </c>
      <c r="C7" s="18" t="n">
        <f aca="false">B7*1.1</f>
        <v>2.48152730950776</v>
      </c>
      <c r="D7" s="18" t="n">
        <f aca="false">C7*1.1</f>
        <v>2.72968004045853</v>
      </c>
    </row>
    <row r="8" customFormat="false" ht="15" hidden="false" customHeight="false" outlineLevel="0" collapsed="false">
      <c r="A8" s="3" t="s">
        <v>75</v>
      </c>
      <c r="B8" s="18" t="n">
        <f aca="false">B5*Inputs!B7*Inputs!B8</f>
        <v>1.44</v>
      </c>
      <c r="C8" s="18" t="n">
        <f aca="false">B5*Inputs!C7*Inputs!C9</f>
        <v>5.76</v>
      </c>
      <c r="D8" s="18" t="n">
        <f aca="false">B5*Inputs!D7</f>
        <v>9.6</v>
      </c>
    </row>
    <row r="9" customFormat="false" ht="15" hidden="false" customHeight="false" outlineLevel="0" collapsed="false">
      <c r="A9" s="3" t="s">
        <v>76</v>
      </c>
      <c r="C9" s="18" t="n">
        <f aca="false">C5*Inputs!C7*Inputs!C8</f>
        <v>1.62</v>
      </c>
      <c r="D9" s="18" t="n">
        <f aca="false">C5*Inputs!D7*Inputs!D9</f>
        <v>6.48</v>
      </c>
    </row>
    <row r="10" customFormat="false" ht="15" hidden="false" customHeight="false" outlineLevel="0" collapsed="false">
      <c r="A10" s="3" t="s">
        <v>77</v>
      </c>
      <c r="D10" s="18" t="n">
        <f aca="false">D5*Inputs!D7*Inputs!D8</f>
        <v>0.9</v>
      </c>
    </row>
    <row r="11" customFormat="false" ht="15" hidden="false" customHeight="false" outlineLevel="0" collapsed="false">
      <c r="A11" s="1" t="s">
        <v>78</v>
      </c>
      <c r="B11" s="15" t="n">
        <f aca="false">SUM(B7:B10)</f>
        <v>3.69593391773432</v>
      </c>
      <c r="C11" s="15" t="n">
        <f aca="false">SUM(C7:C10)</f>
        <v>9.86152730950775</v>
      </c>
      <c r="D11" s="15" t="n">
        <f aca="false">SUM(D7:D10)</f>
        <v>19.7096800404585</v>
      </c>
    </row>
    <row r="12" customFormat="false" ht="15" hidden="false" customHeight="false" outlineLevel="0" collapsed="false">
      <c r="A12" s="3" t="s">
        <v>79</v>
      </c>
      <c r="B12" s="13" t="n">
        <f aca="false">B11/Inputs!B5</f>
        <v>0.0794824498437489</v>
      </c>
      <c r="C12" s="13" t="n">
        <f aca="false">C11/Inputs!C5</f>
        <v>0.158800761827822</v>
      </c>
      <c r="D12" s="13" t="n">
        <f aca="false">D11/Inputs!D5</f>
        <v>0.252688205646904</v>
      </c>
    </row>
    <row r="13" customFormat="false" ht="15" hidden="false" customHeight="false" outlineLevel="0" collapsed="false">
      <c r="A13" s="3" t="s">
        <v>80</v>
      </c>
      <c r="B13" s="19" t="n">
        <f aca="false">B6+B5</f>
        <v>14</v>
      </c>
      <c r="C13" s="19" t="n">
        <f aca="false">B13+C5</f>
        <v>23</v>
      </c>
      <c r="D13" s="19" t="n">
        <f aca="false">C13+D5</f>
        <v>28</v>
      </c>
    </row>
    <row r="14" customFormat="false" ht="15" hidden="false" customHeight="false" outlineLevel="0" collapsed="false">
      <c r="A14" s="1" t="s">
        <v>81</v>
      </c>
      <c r="D14" s="15" t="n">
        <f aca="false">D11-Inputs!D6*Inputs!D5</f>
        <v>0.20968004045853</v>
      </c>
    </row>
    <row r="15" customFormat="false" ht="15" hidden="false" customHeight="false" outlineLevel="0" collapsed="false">
      <c r="A15" s="3" t="s">
        <v>82</v>
      </c>
      <c r="D15" s="20" t="n">
        <f aca="false">Inputs!D6*Inputs!D5/Inputs!D7</f>
        <v>16.25</v>
      </c>
    </row>
    <row r="16" customFormat="false" ht="15" hidden="false" customHeight="false" outlineLevel="0" collapsed="false">
      <c r="A16" s="3" t="s">
        <v>83</v>
      </c>
      <c r="B16" s="21" t="n">
        <f aca="false">(D7+(D8+D9+D10)*0.8/Inputs!D7)/Inputs!D5</f>
        <v>0.180124103082802</v>
      </c>
      <c r="C16" s="21" t="n">
        <f aca="false">(D7+(D8+D9+D10)*1/Inputs!D7)/Inputs!D5</f>
        <v>0.216406154364853</v>
      </c>
      <c r="D16" s="21" t="n">
        <f aca="false">(D7+(D8+D9+D10)*1.4/Inputs!D7)/Inputs!D5</f>
        <v>0.288970256928955</v>
      </c>
    </row>
    <row r="18" customFormat="false" ht="15" hidden="false" customHeight="false" outlineLevel="0" collapsed="false">
      <c r="A18" s="8" t="s">
        <v>84</v>
      </c>
    </row>
    <row r="19" customFormat="false" ht="15" hidden="false" customHeight="false" outlineLevel="0" collapsed="false">
      <c r="A19" s="8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2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4" t="s">
        <v>86</v>
      </c>
    </row>
    <row r="2" customFormat="false" ht="15" hidden="false" customHeight="false" outlineLevel="0" collapsed="false">
      <c r="A2" s="5" t="s">
        <v>87</v>
      </c>
    </row>
    <row r="4" customFormat="false" ht="15" hidden="false" customHeight="false" outlineLevel="0" collapsed="false">
      <c r="A4" s="6" t="s">
        <v>69</v>
      </c>
      <c r="B4" s="6" t="s">
        <v>13</v>
      </c>
      <c r="C4" s="6" t="s">
        <v>14</v>
      </c>
      <c r="D4" s="6" t="s">
        <v>15</v>
      </c>
      <c r="E4" s="6" t="s">
        <v>54</v>
      </c>
    </row>
    <row r="5" customFormat="false" ht="15" hidden="false" customHeight="false" outlineLevel="0" collapsed="false">
      <c r="A5" s="3" t="s">
        <v>88</v>
      </c>
      <c r="B5" s="18" t="n">
        <f aca="false">Partner_ramp!B11</f>
        <v>3.69593391773432</v>
      </c>
      <c r="C5" s="18" t="n">
        <f aca="false">Partner_ramp!C11</f>
        <v>9.86152730950775</v>
      </c>
      <c r="D5" s="18" t="n">
        <f aca="false">Partner_ramp!D11</f>
        <v>19.7096800404585</v>
      </c>
    </row>
    <row r="6" customFormat="false" ht="15" hidden="false" customHeight="false" outlineLevel="0" collapsed="false">
      <c r="A6" s="3" t="s">
        <v>89</v>
      </c>
      <c r="B6" s="18" t="n">
        <f aca="false">B5*Inputs!D22</f>
        <v>0.606133162508429</v>
      </c>
      <c r="C6" s="18" t="n">
        <f aca="false">C5*Inputs!E22</f>
        <v>1.67645964261632</v>
      </c>
      <c r="D6" s="18" t="n">
        <f aca="false">D5*Inputs!F22</f>
        <v>3.4689036871207</v>
      </c>
    </row>
    <row r="7" customFormat="false" ht="15" hidden="false" customHeight="false" outlineLevel="0" collapsed="false">
      <c r="A7" s="3" t="s">
        <v>90</v>
      </c>
      <c r="B7" s="18" t="n">
        <f aca="false">0</f>
        <v>0</v>
      </c>
      <c r="C7" s="18" t="n">
        <f aca="false">B5*Inputs!E23</f>
        <v>0.240235704652731</v>
      </c>
      <c r="D7" s="18" t="n">
        <f aca="false">(B5+C5)*Inputs!F23</f>
        <v>0.949022285906945</v>
      </c>
    </row>
    <row r="8" customFormat="false" ht="15" hidden="false" customHeight="false" outlineLevel="0" collapsed="false">
      <c r="A8" s="3" t="s">
        <v>91</v>
      </c>
      <c r="B8" s="18" t="n">
        <f aca="false">Inputs!B33</f>
        <v>3.94</v>
      </c>
      <c r="C8" s="18" t="n">
        <f aca="false">Inputs!C33</f>
        <v>5.46</v>
      </c>
      <c r="D8" s="18" t="n">
        <f aca="false">Inputs!D33</f>
        <v>6.5</v>
      </c>
    </row>
    <row r="9" customFormat="false" ht="15" hidden="false" customHeight="false" outlineLevel="0" collapsed="false">
      <c r="A9" s="3" t="s">
        <v>92</v>
      </c>
      <c r="B9" s="18" t="n">
        <f aca="false">B5*Inputs!B13*Inputs!B12</f>
        <v>2.42453265003372</v>
      </c>
      <c r="C9" s="18" t="n">
        <f aca="false">C5*Inputs!C13*Inputs!C12</f>
        <v>5.66051667565745</v>
      </c>
      <c r="D9" s="18" t="n">
        <f aca="false">D5*Inputs!D13*Inputs!D12</f>
        <v>9.6971625799056</v>
      </c>
    </row>
    <row r="10" customFormat="false" ht="15" hidden="false" customHeight="false" outlineLevel="0" collapsed="false">
      <c r="A10" s="1" t="s">
        <v>93</v>
      </c>
      <c r="B10" s="15" t="n">
        <f aca="false">B6+B7+B8+B9</f>
        <v>6.97066581254214</v>
      </c>
      <c r="C10" s="15" t="n">
        <f aca="false">C6+C7+C8+C9</f>
        <v>13.0372120229265</v>
      </c>
      <c r="D10" s="15" t="n">
        <f aca="false">D6+D7+D8+D9</f>
        <v>20.6150885529332</v>
      </c>
    </row>
    <row r="11" customFormat="false" ht="15" hidden="false" customHeight="false" outlineLevel="0" collapsed="false">
      <c r="A11" s="3" t="s">
        <v>94</v>
      </c>
      <c r="B11" s="18" t="n">
        <f aca="false">B5*Inputs!B11</f>
        <v>2.52432286581254</v>
      </c>
      <c r="C11" s="18" t="n">
        <f aca="false">C5*Inputs!C11</f>
        <v>6.7354231523938</v>
      </c>
      <c r="D11" s="18" t="n">
        <f aca="false">D5*Inputs!D11</f>
        <v>13.4617114676332</v>
      </c>
    </row>
    <row r="12" customFormat="false" ht="15" hidden="false" customHeight="false" outlineLevel="0" collapsed="false">
      <c r="A12" s="1" t="s">
        <v>95</v>
      </c>
      <c r="B12" s="15" t="n">
        <f aca="false">B11-B10</f>
        <v>-4.4463429467296</v>
      </c>
      <c r="C12" s="15" t="n">
        <f aca="false">C11-C10</f>
        <v>-6.3017888705327</v>
      </c>
      <c r="D12" s="15" t="n">
        <f aca="false">D11-D10</f>
        <v>-7.15337708530007</v>
      </c>
    </row>
    <row r="13" customFormat="false" ht="15" hidden="false" customHeight="false" outlineLevel="0" collapsed="false">
      <c r="A13" s="3" t="s">
        <v>96</v>
      </c>
      <c r="B13" s="18" t="n">
        <f aca="false">B5*Inputs!B12</f>
        <v>6.06133162508429</v>
      </c>
      <c r="C13" s="18" t="n">
        <f aca="false">C5*Inputs!C12</f>
        <v>16.1729047875927</v>
      </c>
      <c r="D13" s="18" t="n">
        <f aca="false">D5*Inputs!D12</f>
        <v>32.323875266352</v>
      </c>
    </row>
    <row r="14" customFormat="false" ht="15" hidden="false" customHeight="false" outlineLevel="0" collapsed="false">
      <c r="A14" s="1" t="s">
        <v>97</v>
      </c>
      <c r="B14" s="15" t="n">
        <f aca="false">B13-B10</f>
        <v>-0.909334187457856</v>
      </c>
      <c r="C14" s="15" t="n">
        <f aca="false">C13-C10</f>
        <v>3.13569276466622</v>
      </c>
      <c r="D14" s="15" t="n">
        <f aca="false">D13-D10</f>
        <v>11.7087867134187</v>
      </c>
    </row>
    <row r="16" customFormat="false" ht="15" hidden="false" customHeight="false" outlineLevel="0" collapsed="false">
      <c r="A16" s="3" t="s">
        <v>98</v>
      </c>
      <c r="D16" s="15" t="n">
        <f aca="false">D5*(3*Inputs!D11-Inputs!F22-2*Inputs!F23)</f>
        <v>34.1568755101146</v>
      </c>
    </row>
    <row r="17" customFormat="false" ht="15" hidden="false" customHeight="false" outlineLevel="0" collapsed="false">
      <c r="A17" s="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2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5" t="s">
        <v>101</v>
      </c>
    </row>
    <row r="4" customFormat="false" ht="15" hidden="false" customHeight="false" outlineLevel="0" collapsed="false">
      <c r="A4" s="6" t="s">
        <v>69</v>
      </c>
      <c r="B4" s="6" t="s">
        <v>13</v>
      </c>
      <c r="C4" s="6" t="s">
        <v>14</v>
      </c>
      <c r="D4" s="6" t="s">
        <v>15</v>
      </c>
      <c r="E4" s="6" t="s">
        <v>54</v>
      </c>
    </row>
    <row r="5" customFormat="false" ht="15" hidden="false" customHeight="false" outlineLevel="0" collapsed="false">
      <c r="A5" s="3" t="s">
        <v>102</v>
      </c>
      <c r="B5" s="22" t="n">
        <v>433</v>
      </c>
      <c r="C5" s="22" t="n">
        <v>510</v>
      </c>
      <c r="D5" s="22" t="n">
        <v>610</v>
      </c>
      <c r="E5" s="8" t="s">
        <v>103</v>
      </c>
    </row>
    <row r="6" customFormat="false" ht="15" hidden="false" customHeight="false" outlineLevel="0" collapsed="false">
      <c r="A6" s="3" t="s">
        <v>104</v>
      </c>
      <c r="B6" s="23" t="n">
        <f aca="false">Inputs!B11</f>
        <v>0.683</v>
      </c>
      <c r="C6" s="23" t="n">
        <f aca="false">Inputs!C11</f>
        <v>0.683</v>
      </c>
      <c r="D6" s="23" t="n">
        <f aca="false">Inputs!D11</f>
        <v>0.683</v>
      </c>
    </row>
    <row r="7" customFormat="false" ht="15" hidden="false" customHeight="false" outlineLevel="0" collapsed="false">
      <c r="A7" s="3" t="s">
        <v>105</v>
      </c>
      <c r="B7" s="17" t="n">
        <f aca="false">Channel_PL!B6+Channel_PL!B7</f>
        <v>0.606133162508429</v>
      </c>
      <c r="C7" s="17" t="n">
        <f aca="false">Channel_PL!C6+Channel_PL!C7</f>
        <v>1.91669534726905</v>
      </c>
      <c r="D7" s="17" t="n">
        <f aca="false">Channel_PL!D6+Channel_PL!D7</f>
        <v>4.41792597302765</v>
      </c>
    </row>
    <row r="8" customFormat="false" ht="15" hidden="false" customHeight="false" outlineLevel="0" collapsed="false">
      <c r="A8" s="1" t="s">
        <v>106</v>
      </c>
      <c r="B8" s="13" t="n">
        <f aca="false">(B5*B6-B7)/B5</f>
        <v>0.681600154359103</v>
      </c>
      <c r="C8" s="13" t="n">
        <f aca="false">(C5*C6-C7)/C5</f>
        <v>0.679241773828884</v>
      </c>
      <c r="D8" s="13" t="n">
        <f aca="false">(D5*D6-D7)/D5</f>
        <v>0.675757498404873</v>
      </c>
    </row>
    <row r="9" customFormat="false" ht="15" hidden="false" customHeight="false" outlineLevel="0" collapsed="false">
      <c r="A9" s="3" t="s">
        <v>107</v>
      </c>
      <c r="B9" s="24" t="n">
        <f aca="false">(B8-0.66)*100</f>
        <v>2.16001543591029</v>
      </c>
      <c r="C9" s="24" t="n">
        <f aca="false">(C8-0.66)*100</f>
        <v>1.92417738288843</v>
      </c>
      <c r="D9" s="24" t="n">
        <f aca="false">(D8-0.66)*100</f>
        <v>1.57574984048727</v>
      </c>
    </row>
    <row r="10" customFormat="false" ht="15" hidden="false" customHeight="false" outlineLevel="0" collapsed="false">
      <c r="A10" s="3" t="s">
        <v>108</v>
      </c>
      <c r="B10" s="18" t="n">
        <f aca="false">B5*(B6-0.66)</f>
        <v>9.95900000000001</v>
      </c>
      <c r="C10" s="18" t="n">
        <f aca="false">C5*(C6-0.66)</f>
        <v>11.73</v>
      </c>
      <c r="D10" s="18" t="n">
        <f aca="false">D5*(D6-0.66)</f>
        <v>14.03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4" t="s">
        <v>109</v>
      </c>
    </row>
    <row r="2" customFormat="false" ht="15" hidden="false" customHeight="false" outlineLevel="0" collapsed="false">
      <c r="A2" s="5" t="s">
        <v>110</v>
      </c>
    </row>
    <row r="4" customFormat="false" ht="15" hidden="false" customHeight="false" outlineLevel="0" collapsed="false">
      <c r="A4" s="3" t="s">
        <v>111</v>
      </c>
      <c r="B4" s="25" t="n">
        <f aca="false">Partner_ramp!D13</f>
        <v>28</v>
      </c>
    </row>
    <row r="5" customFormat="false" ht="15" hidden="false" customHeight="false" outlineLevel="0" collapsed="false">
      <c r="A5" s="3" t="s">
        <v>112</v>
      </c>
      <c r="B5" s="17" t="n">
        <f aca="false">Inputs!D33</f>
        <v>6.5</v>
      </c>
    </row>
    <row r="7" customFormat="false" ht="15" hidden="false" customHeight="false" outlineLevel="0" collapsed="false">
      <c r="A7" s="1" t="s">
        <v>113</v>
      </c>
    </row>
    <row r="8" customFormat="false" ht="15" hidden="false" customHeight="false" outlineLevel="0" collapsed="false">
      <c r="A8" s="3" t="s">
        <v>114</v>
      </c>
      <c r="B8" s="26" t="n">
        <f aca="false">Inputs!D12*(1-Inputs!D13)-Inputs!F22</f>
        <v>0.972</v>
      </c>
    </row>
    <row r="9" customFormat="false" ht="15" hidden="false" customHeight="false" outlineLevel="0" collapsed="false">
      <c r="A9" s="1" t="s">
        <v>115</v>
      </c>
      <c r="B9" s="15" t="n">
        <f aca="false">B5/(B4*B8)</f>
        <v>0.238830099941211</v>
      </c>
      <c r="C9" s="8" t="s">
        <v>116</v>
      </c>
    </row>
    <row r="11" customFormat="false" ht="15" hidden="false" customHeight="false" outlineLevel="0" collapsed="false">
      <c r="A11" s="1" t="s">
        <v>117</v>
      </c>
    </row>
    <row r="12" customFormat="false" ht="15" hidden="false" customHeight="false" outlineLevel="0" collapsed="false">
      <c r="A12" s="3" t="s">
        <v>118</v>
      </c>
      <c r="B12" s="26" t="n">
        <f aca="false">3*Inputs!D11-Inputs!F22-2*Inputs!F23-Inputs!D13*Inputs!D12</f>
        <v>1.241</v>
      </c>
    </row>
    <row r="13" customFormat="false" ht="15" hidden="false" customHeight="false" outlineLevel="0" collapsed="false">
      <c r="A13" s="1" t="s">
        <v>115</v>
      </c>
      <c r="B13" s="15" t="n">
        <f aca="false">B5/(B4*B12)</f>
        <v>0.187061125820191</v>
      </c>
    </row>
    <row r="15" customFormat="false" ht="15" hidden="false" customHeight="false" outlineLevel="0" collapsed="false">
      <c r="A15" s="1" t="s">
        <v>119</v>
      </c>
    </row>
    <row r="16" customFormat="false" ht="15" hidden="false" customHeight="false" outlineLevel="0" collapsed="false">
      <c r="A16" s="3" t="s">
        <v>120</v>
      </c>
      <c r="B16" s="26" t="n">
        <f aca="false">Inputs!D11-Inputs!F22-Inputs!D13*Inputs!D12</f>
        <v>0.0150000000000002</v>
      </c>
    </row>
    <row r="17" customFormat="false" ht="15" hidden="false" customHeight="false" outlineLevel="0" collapsed="false">
      <c r="A17" s="3" t="s">
        <v>115</v>
      </c>
      <c r="B17" s="18" t="n">
        <f aca="false">IF(B16&lt;=0,"never",B5/(B4*B16))</f>
        <v>15.4761904761903</v>
      </c>
      <c r="C17" s="8" t="s">
        <v>121</v>
      </c>
    </row>
    <row r="19" customFormat="false" ht="15" hidden="false" customHeight="false" outlineLevel="0" collapsed="false">
      <c r="A19" s="3" t="s">
        <v>122</v>
      </c>
      <c r="B19" s="27" t="n">
        <f aca="false">(0.69+0.85+0+0.41)/4</f>
        <v>0.4875</v>
      </c>
    </row>
    <row r="20" customFormat="false" ht="15" hidden="false" customHeight="false" outlineLevel="0" collapsed="false">
      <c r="A20" s="3" t="s">
        <v>123</v>
      </c>
      <c r="B20" s="18" t="n">
        <f aca="false">Inputs!D10/14</f>
        <v>0.185714285714286</v>
      </c>
    </row>
    <row r="21" customFormat="false" ht="15" hidden="false" customHeight="false" outlineLevel="0" collapsed="false">
      <c r="A21" s="3" t="s">
        <v>124</v>
      </c>
      <c r="B21" s="17" t="n">
        <f aca="false">Inputs!D7</f>
        <v>1.2</v>
      </c>
    </row>
    <row r="23" customFormat="false" ht="60" hidden="false" customHeight="true" outlineLevel="0" collapsed="false">
      <c r="A23" s="28" t="s">
        <v>125</v>
      </c>
      <c r="B23" s="28"/>
      <c r="C23" s="28"/>
    </row>
  </sheetData>
  <mergeCells count="1"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4" t="s">
        <v>126</v>
      </c>
    </row>
    <row r="2" customFormat="false" ht="15" hidden="false" customHeight="false" outlineLevel="0" collapsed="false">
      <c r="A2" s="5" t="s">
        <v>127</v>
      </c>
    </row>
    <row r="4" customFormat="false" ht="15" hidden="false" customHeight="false" outlineLevel="0" collapsed="false">
      <c r="A4" s="3" t="s">
        <v>128</v>
      </c>
      <c r="B4" s="27" t="n">
        <v>14.83</v>
      </c>
      <c r="C4" s="8" t="s">
        <v>129</v>
      </c>
    </row>
    <row r="5" customFormat="false" ht="15" hidden="false" customHeight="false" outlineLevel="0" collapsed="false">
      <c r="A5" s="3" t="s">
        <v>130</v>
      </c>
      <c r="B5" s="27" t="n">
        <v>7.85</v>
      </c>
    </row>
    <row r="6" customFormat="false" ht="15" hidden="false" customHeight="false" outlineLevel="0" collapsed="false">
      <c r="A6" s="3" t="s">
        <v>131</v>
      </c>
      <c r="B6" s="13" t="n">
        <f aca="false">B5/B4</f>
        <v>0.529332434254889</v>
      </c>
    </row>
    <row r="7" customFormat="false" ht="15" hidden="false" customHeight="false" outlineLevel="0" collapsed="false">
      <c r="A7" s="3" t="s">
        <v>132</v>
      </c>
      <c r="B7" s="11" t="n">
        <v>0.5</v>
      </c>
      <c r="C7" s="8" t="s">
        <v>133</v>
      </c>
    </row>
    <row r="8" customFormat="false" ht="15" hidden="false" customHeight="false" outlineLevel="0" collapsed="false">
      <c r="A8" s="3" t="s">
        <v>134</v>
      </c>
      <c r="B8" s="13" t="n">
        <f aca="false">B6*B7*0.5</f>
        <v>0.132333108563722</v>
      </c>
      <c r="C8" s="8" t="s">
        <v>135</v>
      </c>
    </row>
    <row r="9" customFormat="false" ht="15" hidden="false" customHeight="false" outlineLevel="0" collapsed="false">
      <c r="A9" s="3" t="s">
        <v>136</v>
      </c>
      <c r="B9" s="27" t="n">
        <v>4</v>
      </c>
    </row>
    <row r="10" customFormat="false" ht="15" hidden="false" customHeight="false" outlineLevel="0" collapsed="false">
      <c r="A10" s="3" t="s">
        <v>137</v>
      </c>
      <c r="B10" s="17" t="n">
        <f aca="false">Partner_ramp!B11</f>
        <v>3.69593391773432</v>
      </c>
    </row>
    <row r="11" customFormat="false" ht="15" hidden="false" customHeight="false" outlineLevel="0" collapsed="false">
      <c r="A11" s="1" t="s">
        <v>138</v>
      </c>
      <c r="B11" s="15" t="n">
        <f aca="false">B9-B10</f>
        <v>0.304066082265678</v>
      </c>
      <c r="C11" s="8" t="s">
        <v>139</v>
      </c>
    </row>
    <row r="13" customFormat="false" ht="15" hidden="false" customHeight="false" outlineLevel="0" collapsed="false">
      <c r="A13" s="1" t="s">
        <v>140</v>
      </c>
    </row>
    <row r="14" customFormat="false" ht="15" hidden="false" customHeight="true" outlineLevel="0" collapsed="false">
      <c r="A14" s="29" t="s">
        <v>141</v>
      </c>
      <c r="B14" s="29"/>
      <c r="C14" s="29"/>
    </row>
    <row r="15" customFormat="false" ht="15" hidden="false" customHeight="true" outlineLevel="0" collapsed="false">
      <c r="A15" s="29" t="s">
        <v>142</v>
      </c>
      <c r="B15" s="29"/>
      <c r="C15" s="29"/>
    </row>
    <row r="16" customFormat="false" ht="15" hidden="false" customHeight="true" outlineLevel="0" collapsed="false">
      <c r="A16" s="29" t="s">
        <v>143</v>
      </c>
      <c r="B16" s="29"/>
      <c r="C16" s="29"/>
    </row>
    <row r="17" customFormat="false" ht="15" hidden="false" customHeight="true" outlineLevel="0" collapsed="false">
      <c r="A17" s="29" t="s">
        <v>144</v>
      </c>
      <c r="B17" s="29"/>
      <c r="C17" s="29"/>
    </row>
    <row r="18" customFormat="false" ht="15" hidden="false" customHeight="true" outlineLevel="0" collapsed="false">
      <c r="A18" s="29" t="s">
        <v>145</v>
      </c>
      <c r="B18" s="29"/>
      <c r="C18" s="29"/>
    </row>
  </sheetData>
  <mergeCells count="5">
    <mergeCell ref="A14:C14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58"/>
  </cols>
  <sheetData>
    <row r="1" customFormat="false" ht="35.05" hidden="false" customHeight="false" outlineLevel="0" collapsed="false">
      <c r="A1" s="6" t="s">
        <v>146</v>
      </c>
      <c r="B1" s="6" t="s">
        <v>147</v>
      </c>
      <c r="C1" s="6" t="s">
        <v>148</v>
      </c>
      <c r="D1" s="6" t="s">
        <v>149</v>
      </c>
      <c r="E1" s="6" t="s">
        <v>150</v>
      </c>
      <c r="F1" s="6" t="s">
        <v>151</v>
      </c>
      <c r="G1" s="6" t="s">
        <v>152</v>
      </c>
      <c r="H1" s="6" t="s">
        <v>153</v>
      </c>
      <c r="I1" s="6" t="s">
        <v>154</v>
      </c>
      <c r="J1" s="6" t="s">
        <v>155</v>
      </c>
    </row>
    <row r="2" customFormat="false" ht="23.85" hidden="false" customHeight="false" outlineLevel="0" collapsed="false">
      <c r="A2" s="30" t="s">
        <v>156</v>
      </c>
      <c r="B2" s="30" t="s">
        <v>157</v>
      </c>
      <c r="C2" s="30" t="s">
        <v>158</v>
      </c>
      <c r="D2" s="30" t="n">
        <v>0</v>
      </c>
      <c r="E2" s="30" t="n">
        <v>0</v>
      </c>
      <c r="F2" s="31" t="n">
        <v>0.5</v>
      </c>
      <c r="G2" s="30" t="n">
        <v>0</v>
      </c>
      <c r="H2" s="30" t="s">
        <v>159</v>
      </c>
      <c r="I2" s="30" t="s">
        <v>160</v>
      </c>
      <c r="J2" s="30" t="s">
        <v>161</v>
      </c>
    </row>
    <row r="3" customFormat="false" ht="15" hidden="false" customHeight="false" outlineLevel="0" collapsed="false">
      <c r="A3" s="30" t="s">
        <v>162</v>
      </c>
      <c r="B3" s="30" t="s">
        <v>163</v>
      </c>
      <c r="C3" s="30" t="s">
        <v>164</v>
      </c>
      <c r="D3" s="30" t="n">
        <v>0.69</v>
      </c>
      <c r="E3" s="30" t="n">
        <v>0.37</v>
      </c>
      <c r="F3" s="31" t="n">
        <v>0.216</v>
      </c>
      <c r="G3" s="30" t="n">
        <v>4.24</v>
      </c>
      <c r="H3" s="30" t="s">
        <v>159</v>
      </c>
      <c r="I3" s="30" t="s">
        <v>165</v>
      </c>
      <c r="J3" s="30" t="s">
        <v>166</v>
      </c>
    </row>
    <row r="4" customFormat="false" ht="15" hidden="false" customHeight="false" outlineLevel="0" collapsed="false">
      <c r="A4" s="30" t="s">
        <v>167</v>
      </c>
      <c r="B4" s="30" t="s">
        <v>168</v>
      </c>
      <c r="C4" s="30" t="s">
        <v>158</v>
      </c>
      <c r="D4" s="30" t="n">
        <v>0.22</v>
      </c>
      <c r="E4" s="30" t="n">
        <v>0</v>
      </c>
      <c r="F4" s="31" t="n">
        <v>0.5</v>
      </c>
      <c r="G4" s="30" t="n">
        <v>0.3</v>
      </c>
      <c r="H4" s="30" t="s">
        <v>159</v>
      </c>
      <c r="I4" s="30" t="s">
        <v>160</v>
      </c>
      <c r="J4" s="30" t="s">
        <v>169</v>
      </c>
    </row>
    <row r="5" customFormat="false" ht="15" hidden="false" customHeight="false" outlineLevel="0" collapsed="false">
      <c r="A5" s="30" t="s">
        <v>170</v>
      </c>
      <c r="B5" s="30" t="s">
        <v>171</v>
      </c>
      <c r="C5" s="30" t="s">
        <v>158</v>
      </c>
      <c r="D5" s="30" t="n">
        <v>0</v>
      </c>
      <c r="E5" s="30" t="n">
        <v>0</v>
      </c>
      <c r="F5" s="31" t="n">
        <v>0</v>
      </c>
      <c r="G5" s="30" t="n">
        <v>0</v>
      </c>
      <c r="H5" s="30" t="s">
        <v>159</v>
      </c>
      <c r="I5" s="30" t="s">
        <v>160</v>
      </c>
      <c r="J5" s="30" t="s">
        <v>172</v>
      </c>
    </row>
    <row r="6" customFormat="false" ht="23.85" hidden="false" customHeight="false" outlineLevel="0" collapsed="false">
      <c r="A6" s="30" t="s">
        <v>173</v>
      </c>
      <c r="B6" s="30" t="s">
        <v>174</v>
      </c>
      <c r="C6" s="30" t="s">
        <v>164</v>
      </c>
      <c r="D6" s="30" t="n">
        <v>0.85</v>
      </c>
      <c r="E6" s="30" t="n">
        <v>0</v>
      </c>
      <c r="F6" s="31" t="n">
        <v>0.213</v>
      </c>
      <c r="G6" s="30" t="n">
        <v>3.11</v>
      </c>
      <c r="H6" s="30" t="s">
        <v>175</v>
      </c>
      <c r="I6" s="30" t="s">
        <v>176</v>
      </c>
      <c r="J6" s="30" t="s">
        <v>177</v>
      </c>
    </row>
    <row r="7" customFormat="false" ht="15" hidden="false" customHeight="false" outlineLevel="0" collapsed="false">
      <c r="A7" s="30" t="s">
        <v>178</v>
      </c>
      <c r="B7" s="30" t="s">
        <v>179</v>
      </c>
      <c r="C7" s="30" t="s">
        <v>158</v>
      </c>
      <c r="D7" s="30" t="n">
        <v>0</v>
      </c>
      <c r="E7" s="30" t="n">
        <v>0</v>
      </c>
      <c r="F7" s="31" t="n">
        <v>0</v>
      </c>
      <c r="G7" s="30" t="n">
        <v>0</v>
      </c>
      <c r="H7" s="30" t="s">
        <v>159</v>
      </c>
      <c r="I7" s="30" t="s">
        <v>160</v>
      </c>
      <c r="J7" s="30" t="s">
        <v>180</v>
      </c>
    </row>
    <row r="8" customFormat="false" ht="23.85" hidden="false" customHeight="false" outlineLevel="0" collapsed="false">
      <c r="A8" s="30" t="s">
        <v>181</v>
      </c>
      <c r="B8" s="30" t="s">
        <v>182</v>
      </c>
      <c r="C8" s="30" t="s">
        <v>183</v>
      </c>
      <c r="D8" s="30" t="n">
        <v>0</v>
      </c>
      <c r="E8" s="30" t="n">
        <v>0</v>
      </c>
      <c r="F8" s="31"/>
      <c r="G8" s="30" t="n">
        <v>0</v>
      </c>
      <c r="H8" s="30" t="s">
        <v>159</v>
      </c>
      <c r="I8" s="30" t="s">
        <v>184</v>
      </c>
      <c r="J8" s="30" t="s">
        <v>185</v>
      </c>
    </row>
    <row r="9" customFormat="false" ht="15" hidden="false" customHeight="false" outlineLevel="0" collapsed="false">
      <c r="A9" s="30" t="s">
        <v>186</v>
      </c>
      <c r="B9" s="30" t="s">
        <v>187</v>
      </c>
      <c r="C9" s="30" t="s">
        <v>183</v>
      </c>
      <c r="D9" s="30" t="n">
        <v>0</v>
      </c>
      <c r="E9" s="30" t="n">
        <v>0</v>
      </c>
      <c r="F9" s="31"/>
      <c r="G9" s="30" t="n">
        <v>0</v>
      </c>
      <c r="H9" s="30" t="s">
        <v>159</v>
      </c>
      <c r="I9" s="30" t="s">
        <v>188</v>
      </c>
      <c r="J9" s="30" t="s">
        <v>189</v>
      </c>
    </row>
    <row r="10" customFormat="false" ht="23.85" hidden="false" customHeight="false" outlineLevel="0" collapsed="false">
      <c r="A10" s="30" t="s">
        <v>190</v>
      </c>
      <c r="B10" s="30" t="s">
        <v>191</v>
      </c>
      <c r="C10" s="30" t="s">
        <v>164</v>
      </c>
      <c r="D10" s="30" t="n">
        <v>0</v>
      </c>
      <c r="E10" s="30" t="n">
        <v>0.54</v>
      </c>
      <c r="F10" s="31" t="n">
        <v>0.178</v>
      </c>
      <c r="G10" s="30" t="n">
        <v>7.11</v>
      </c>
      <c r="H10" s="30" t="s">
        <v>159</v>
      </c>
      <c r="I10" s="30" t="s">
        <v>192</v>
      </c>
      <c r="J10" s="30" t="s">
        <v>193</v>
      </c>
    </row>
    <row r="11" customFormat="false" ht="23.85" hidden="false" customHeight="false" outlineLevel="0" collapsed="false">
      <c r="A11" s="30" t="s">
        <v>194</v>
      </c>
      <c r="B11" s="30" t="s">
        <v>195</v>
      </c>
      <c r="C11" s="30" t="s">
        <v>183</v>
      </c>
      <c r="D11" s="30" t="n">
        <v>0</v>
      </c>
      <c r="E11" s="30" t="n">
        <v>0</v>
      </c>
      <c r="F11" s="31"/>
      <c r="G11" s="30" t="n">
        <v>0</v>
      </c>
      <c r="H11" s="30" t="s">
        <v>159</v>
      </c>
      <c r="I11" s="30" t="s">
        <v>184</v>
      </c>
      <c r="J11" s="30" t="s">
        <v>196</v>
      </c>
    </row>
    <row r="12" customFormat="false" ht="23.85" hidden="false" customHeight="false" outlineLevel="0" collapsed="false">
      <c r="A12" s="30" t="s">
        <v>197</v>
      </c>
      <c r="B12" s="30" t="s">
        <v>198</v>
      </c>
      <c r="C12" s="30" t="s">
        <v>164</v>
      </c>
      <c r="D12" s="30" t="n">
        <v>0.41</v>
      </c>
      <c r="E12" s="30" t="n">
        <v>0.91</v>
      </c>
      <c r="F12" s="31" t="n">
        <v>0.133</v>
      </c>
      <c r="G12" s="30" t="n">
        <v>6.31</v>
      </c>
      <c r="H12" s="30" t="s">
        <v>175</v>
      </c>
      <c r="I12" s="30" t="s">
        <v>199</v>
      </c>
      <c r="J12" s="30" t="s">
        <v>200</v>
      </c>
    </row>
    <row r="13" customFormat="false" ht="23.85" hidden="false" customHeight="false" outlineLevel="0" collapsed="false">
      <c r="A13" s="30" t="s">
        <v>201</v>
      </c>
      <c r="B13" s="30" t="s">
        <v>202</v>
      </c>
      <c r="C13" s="30" t="s">
        <v>203</v>
      </c>
      <c r="D13" s="30" t="n">
        <v>0.44</v>
      </c>
      <c r="E13" s="30" t="n">
        <v>0</v>
      </c>
      <c r="F13" s="31" t="n">
        <v>0.2</v>
      </c>
      <c r="G13" s="30" t="n">
        <v>0</v>
      </c>
      <c r="H13" s="30" t="s">
        <v>159</v>
      </c>
      <c r="I13" s="30" t="s">
        <v>204</v>
      </c>
      <c r="J13" s="30" t="s">
        <v>205</v>
      </c>
    </row>
    <row r="14" customFormat="false" ht="15" hidden="false" customHeight="false" outlineLevel="0" collapsed="false">
      <c r="A14" s="30" t="s">
        <v>206</v>
      </c>
      <c r="B14" s="30" t="s">
        <v>207</v>
      </c>
      <c r="C14" s="30" t="s">
        <v>203</v>
      </c>
      <c r="D14" s="30" t="n">
        <v>0</v>
      </c>
      <c r="E14" s="30" t="n">
        <v>0</v>
      </c>
      <c r="F14" s="31" t="n">
        <v>0.25</v>
      </c>
      <c r="G14" s="30" t="n">
        <v>0</v>
      </c>
      <c r="H14" s="30" t="s">
        <v>159</v>
      </c>
      <c r="I14" s="30" t="s">
        <v>208</v>
      </c>
      <c r="J14" s="30" t="s">
        <v>209</v>
      </c>
    </row>
    <row r="15" customFormat="false" ht="15" hidden="false" customHeight="false" outlineLevel="0" collapsed="false">
      <c r="A15" s="30" t="s">
        <v>210</v>
      </c>
      <c r="B15" s="30" t="s">
        <v>211</v>
      </c>
      <c r="C15" s="30" t="s">
        <v>158</v>
      </c>
      <c r="D15" s="30" t="n">
        <v>0</v>
      </c>
      <c r="E15" s="30" t="n">
        <v>0</v>
      </c>
      <c r="F15" s="31" t="n">
        <v>0</v>
      </c>
      <c r="G15" s="30" t="n">
        <v>0</v>
      </c>
      <c r="H15" s="30" t="s">
        <v>159</v>
      </c>
      <c r="I15" s="30" t="s">
        <v>160</v>
      </c>
      <c r="J15" s="3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9" min="5" style="0" width="9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44"/>
  </cols>
  <sheetData>
    <row r="1" customFormat="false" ht="16.15" hidden="false" customHeight="false" outlineLevel="0" collapsed="false">
      <c r="A1" s="4" t="s">
        <v>212</v>
      </c>
    </row>
    <row r="2" customFormat="false" ht="15" hidden="false" customHeight="false" outlineLevel="0" collapsed="false">
      <c r="A2" s="5" t="s">
        <v>213</v>
      </c>
    </row>
    <row r="3" customFormat="false" ht="46.25" hidden="false" customHeight="false" outlineLevel="0" collapsed="false">
      <c r="A3" s="6" t="s">
        <v>146</v>
      </c>
      <c r="B3" s="6" t="s">
        <v>214</v>
      </c>
      <c r="C3" s="6" t="s">
        <v>215</v>
      </c>
      <c r="D3" s="6" t="s">
        <v>216</v>
      </c>
      <c r="E3" s="6" t="s">
        <v>217</v>
      </c>
      <c r="F3" s="6" t="s">
        <v>218</v>
      </c>
      <c r="G3" s="6" t="s">
        <v>219</v>
      </c>
      <c r="H3" s="6" t="s">
        <v>220</v>
      </c>
      <c r="I3" s="6" t="s">
        <v>221</v>
      </c>
      <c r="J3" s="6" t="s">
        <v>222</v>
      </c>
      <c r="K3" s="6" t="s">
        <v>223</v>
      </c>
      <c r="L3" s="6" t="s">
        <v>154</v>
      </c>
    </row>
    <row r="4" customFormat="false" ht="15" hidden="false" customHeight="false" outlineLevel="0" collapsed="false">
      <c r="A4" s="1" t="s">
        <v>224</v>
      </c>
      <c r="E4" s="32" t="n">
        <v>0.3</v>
      </c>
      <c r="F4" s="32" t="n">
        <v>0.2</v>
      </c>
      <c r="G4" s="32" t="n">
        <v>0.15</v>
      </c>
      <c r="H4" s="32" t="n">
        <v>0.2</v>
      </c>
      <c r="I4" s="32" t="n">
        <v>0.15</v>
      </c>
    </row>
    <row r="5" customFormat="false" ht="15" hidden="false" customHeight="false" outlineLevel="0" collapsed="false">
      <c r="A5" s="3" t="s">
        <v>225</v>
      </c>
      <c r="B5" s="3" t="s">
        <v>226</v>
      </c>
      <c r="C5" s="3" t="s">
        <v>227</v>
      </c>
      <c r="D5" s="3" t="s">
        <v>228</v>
      </c>
      <c r="E5" s="12" t="n">
        <v>5</v>
      </c>
      <c r="F5" s="12" t="n">
        <v>5</v>
      </c>
      <c r="G5" s="12" t="n">
        <v>4</v>
      </c>
      <c r="H5" s="12" t="n">
        <v>5</v>
      </c>
      <c r="I5" s="12" t="n">
        <v>5</v>
      </c>
      <c r="J5" s="33" t="n">
        <f aca="false">SUMPRODUCT(E5:I5,$E$4:$I$4)</f>
        <v>4.85</v>
      </c>
      <c r="K5" s="34" t="n">
        <f aca="false">RANK(J5,$J$5:$J$16)</f>
        <v>1</v>
      </c>
      <c r="L5" s="0" t="str">
        <f aca="false">IF(K5&lt;=6,"Recruit FY27",IF(H5=1,"Deprioritise (Helix-tied)","Hold for FY28"))</f>
        <v>Recruit FY27</v>
      </c>
    </row>
    <row r="6" customFormat="false" ht="15" hidden="false" customHeight="false" outlineLevel="0" collapsed="false">
      <c r="A6" s="3" t="s">
        <v>229</v>
      </c>
      <c r="B6" s="3" t="s">
        <v>230</v>
      </c>
      <c r="C6" s="3" t="s">
        <v>227</v>
      </c>
      <c r="D6" s="3" t="s">
        <v>231</v>
      </c>
      <c r="E6" s="12" t="n">
        <v>5</v>
      </c>
      <c r="F6" s="12" t="n">
        <v>4</v>
      </c>
      <c r="G6" s="12" t="n">
        <v>4</v>
      </c>
      <c r="H6" s="12" t="n">
        <v>5</v>
      </c>
      <c r="I6" s="12" t="n">
        <v>5</v>
      </c>
      <c r="J6" s="33" t="n">
        <f aca="false">SUMPRODUCT(E6:I6,$E$4:$I$4)</f>
        <v>4.65</v>
      </c>
      <c r="K6" s="34" t="n">
        <f aca="false">RANK(J6,$J$5:$J$16)</f>
        <v>2</v>
      </c>
      <c r="L6" s="0" t="str">
        <f aca="false">IF(K6&lt;=6,"Recruit FY27",IF(H6=1,"Deprioritise (Helix-tied)","Hold for FY28"))</f>
        <v>Recruit FY27</v>
      </c>
    </row>
    <row r="7" customFormat="false" ht="15" hidden="false" customHeight="false" outlineLevel="0" collapsed="false">
      <c r="A7" s="3" t="s">
        <v>232</v>
      </c>
      <c r="B7" s="3" t="s">
        <v>233</v>
      </c>
      <c r="C7" s="3" t="s">
        <v>234</v>
      </c>
      <c r="D7" s="3" t="s">
        <v>235</v>
      </c>
      <c r="E7" s="12" t="n">
        <v>4</v>
      </c>
      <c r="F7" s="12" t="n">
        <v>3</v>
      </c>
      <c r="G7" s="12" t="n">
        <v>3</v>
      </c>
      <c r="H7" s="12" t="n">
        <v>5</v>
      </c>
      <c r="I7" s="12" t="n">
        <v>3</v>
      </c>
      <c r="J7" s="33" t="n">
        <f aca="false">SUMPRODUCT(E7:I7,$E$4:$I$4)</f>
        <v>3.7</v>
      </c>
      <c r="K7" s="34" t="n">
        <f aca="false">RANK(J7,$J$5:$J$16)</f>
        <v>7</v>
      </c>
      <c r="L7" s="0" t="str">
        <f aca="false">IF(K7&lt;=6,"Recruit FY27",IF(H7=1,"Deprioritise (Helix-tied)","Hold for FY28"))</f>
        <v>Hold for FY28</v>
      </c>
    </row>
    <row r="8" customFormat="false" ht="15" hidden="false" customHeight="false" outlineLevel="0" collapsed="false">
      <c r="A8" s="3" t="s">
        <v>236</v>
      </c>
      <c r="B8" s="3" t="s">
        <v>237</v>
      </c>
      <c r="C8" s="3" t="s">
        <v>234</v>
      </c>
      <c r="D8" s="3" t="s">
        <v>238</v>
      </c>
      <c r="E8" s="12" t="n">
        <v>3</v>
      </c>
      <c r="F8" s="12" t="n">
        <v>2</v>
      </c>
      <c r="G8" s="12" t="n">
        <v>3</v>
      </c>
      <c r="H8" s="12" t="n">
        <v>5</v>
      </c>
      <c r="I8" s="12" t="n">
        <v>3</v>
      </c>
      <c r="J8" s="33" t="n">
        <f aca="false">SUMPRODUCT(E8:I8,$E$4:$I$4)</f>
        <v>3.2</v>
      </c>
      <c r="K8" s="34" t="n">
        <f aca="false">RANK(J8,$J$5:$J$16)</f>
        <v>9</v>
      </c>
      <c r="L8" s="0" t="str">
        <f aca="false">IF(K8&lt;=6,"Recruit FY27",IF(H8=1,"Deprioritise (Helix-tied)","Hold for FY28"))</f>
        <v>Hold for FY28</v>
      </c>
    </row>
    <row r="9" customFormat="false" ht="15" hidden="false" customHeight="false" outlineLevel="0" collapsed="false">
      <c r="A9" s="3" t="s">
        <v>239</v>
      </c>
      <c r="B9" s="3" t="s">
        <v>240</v>
      </c>
      <c r="C9" s="3" t="s">
        <v>241</v>
      </c>
      <c r="D9" s="3" t="s">
        <v>242</v>
      </c>
      <c r="E9" s="12" t="n">
        <v>4</v>
      </c>
      <c r="F9" s="12" t="n">
        <v>3</v>
      </c>
      <c r="G9" s="12" t="n">
        <v>3</v>
      </c>
      <c r="H9" s="12" t="n">
        <v>1</v>
      </c>
      <c r="I9" s="12" t="n">
        <v>3</v>
      </c>
      <c r="J9" s="33" t="n">
        <f aca="false">SUMPRODUCT(E9:I9,$E$4:$I$4)</f>
        <v>2.9</v>
      </c>
      <c r="K9" s="34" t="n">
        <f aca="false">RANK(J9,$J$5:$J$16)</f>
        <v>11</v>
      </c>
      <c r="L9" s="0" t="str">
        <f aca="false">IF(K9&lt;=6,"Recruit FY27",IF(H9=1,"Deprioritise (Helix-tied)","Hold for FY28"))</f>
        <v>Deprioritise (Helix-tied)</v>
      </c>
    </row>
    <row r="10" customFormat="false" ht="15" hidden="false" customHeight="false" outlineLevel="0" collapsed="false">
      <c r="A10" s="3" t="s">
        <v>243</v>
      </c>
      <c r="B10" s="3" t="s">
        <v>244</v>
      </c>
      <c r="C10" s="3" t="s">
        <v>245</v>
      </c>
      <c r="D10" s="3" t="s">
        <v>246</v>
      </c>
      <c r="E10" s="12" t="n">
        <v>5</v>
      </c>
      <c r="F10" s="12" t="n">
        <v>4</v>
      </c>
      <c r="G10" s="12" t="n">
        <v>4</v>
      </c>
      <c r="H10" s="12" t="n">
        <v>5</v>
      </c>
      <c r="I10" s="12" t="n">
        <v>4</v>
      </c>
      <c r="J10" s="33" t="n">
        <f aca="false">SUMPRODUCT(E10:I10,$E$4:$I$4)</f>
        <v>4.5</v>
      </c>
      <c r="K10" s="34" t="n">
        <f aca="false">RANK(J10,$J$5:$J$16)</f>
        <v>3</v>
      </c>
      <c r="L10" s="0" t="str">
        <f aca="false">IF(K10&lt;=6,"Recruit FY27",IF(H10=1,"Deprioritise (Helix-tied)","Hold for FY28"))</f>
        <v>Recruit FY27</v>
      </c>
    </row>
    <row r="11" customFormat="false" ht="15" hidden="false" customHeight="false" outlineLevel="0" collapsed="false">
      <c r="A11" s="3" t="s">
        <v>247</v>
      </c>
      <c r="B11" s="3" t="s">
        <v>248</v>
      </c>
      <c r="C11" s="3" t="s">
        <v>234</v>
      </c>
      <c r="D11" s="3" t="s">
        <v>249</v>
      </c>
      <c r="E11" s="12" t="n">
        <v>5</v>
      </c>
      <c r="F11" s="12" t="n">
        <v>4</v>
      </c>
      <c r="G11" s="12" t="n">
        <v>4</v>
      </c>
      <c r="H11" s="12" t="n">
        <v>5</v>
      </c>
      <c r="I11" s="12" t="n">
        <v>4</v>
      </c>
      <c r="J11" s="33" t="n">
        <f aca="false">SUMPRODUCT(E11:I11,$E$4:$I$4)</f>
        <v>4.5</v>
      </c>
      <c r="K11" s="34" t="n">
        <f aca="false">RANK(J11,$J$5:$J$16)</f>
        <v>3</v>
      </c>
      <c r="L11" s="0" t="str">
        <f aca="false">IF(K11&lt;=6,"Recruit FY27",IF(H11=1,"Deprioritise (Helix-tied)","Hold for FY28"))</f>
        <v>Recruit FY27</v>
      </c>
    </row>
    <row r="12" customFormat="false" ht="15" hidden="false" customHeight="false" outlineLevel="0" collapsed="false">
      <c r="A12" s="3" t="s">
        <v>250</v>
      </c>
      <c r="B12" s="3" t="s">
        <v>251</v>
      </c>
      <c r="C12" s="3" t="s">
        <v>227</v>
      </c>
      <c r="D12" s="3" t="s">
        <v>252</v>
      </c>
      <c r="E12" s="12" t="n">
        <v>4</v>
      </c>
      <c r="F12" s="12" t="n">
        <v>3</v>
      </c>
      <c r="G12" s="12" t="n">
        <v>4</v>
      </c>
      <c r="H12" s="12" t="n">
        <v>1</v>
      </c>
      <c r="I12" s="12" t="n">
        <v>3</v>
      </c>
      <c r="J12" s="33" t="n">
        <f aca="false">SUMPRODUCT(E12:I12,$E$4:$I$4)</f>
        <v>3.05</v>
      </c>
      <c r="K12" s="34" t="n">
        <f aca="false">RANK(J12,$J$5:$J$16)</f>
        <v>10</v>
      </c>
      <c r="L12" s="0" t="str">
        <f aca="false">IF(K12&lt;=6,"Recruit FY27",IF(H12=1,"Deprioritise (Helix-tied)","Hold for FY28"))</f>
        <v>Deprioritise (Helix-tied)</v>
      </c>
    </row>
    <row r="13" customFormat="false" ht="15" hidden="false" customHeight="false" outlineLevel="0" collapsed="false">
      <c r="A13" s="3" t="s">
        <v>253</v>
      </c>
      <c r="B13" s="3" t="s">
        <v>254</v>
      </c>
      <c r="C13" s="3" t="s">
        <v>255</v>
      </c>
      <c r="D13" s="3" t="s">
        <v>256</v>
      </c>
      <c r="E13" s="12" t="n">
        <v>5</v>
      </c>
      <c r="F13" s="12" t="n">
        <v>2</v>
      </c>
      <c r="G13" s="12" t="n">
        <v>5</v>
      </c>
      <c r="H13" s="12" t="n">
        <v>5</v>
      </c>
      <c r="I13" s="12" t="n">
        <v>5</v>
      </c>
      <c r="J13" s="33" t="n">
        <f aca="false">SUMPRODUCT(E13:I13,$E$4:$I$4)</f>
        <v>4.4</v>
      </c>
      <c r="K13" s="34" t="n">
        <f aca="false">RANK(J13,$J$5:$J$16)</f>
        <v>5</v>
      </c>
      <c r="L13" s="0" t="str">
        <f aca="false">IF(K13&lt;=6,"Recruit FY27",IF(H13=1,"Deprioritise (Helix-tied)","Hold for FY28"))</f>
        <v>Recruit FY27</v>
      </c>
    </row>
    <row r="14" customFormat="false" ht="15" hidden="false" customHeight="false" outlineLevel="0" collapsed="false">
      <c r="A14" s="3" t="s">
        <v>257</v>
      </c>
      <c r="B14" s="3" t="s">
        <v>258</v>
      </c>
      <c r="C14" s="3" t="s">
        <v>255</v>
      </c>
      <c r="D14" s="3" t="s">
        <v>256</v>
      </c>
      <c r="E14" s="12" t="n">
        <v>5</v>
      </c>
      <c r="F14" s="12" t="n">
        <v>2</v>
      </c>
      <c r="G14" s="12" t="n">
        <v>4</v>
      </c>
      <c r="H14" s="12" t="n">
        <v>5</v>
      </c>
      <c r="I14" s="12" t="n">
        <v>3</v>
      </c>
      <c r="J14" s="33" t="n">
        <f aca="false">SUMPRODUCT(E14:I14,$E$4:$I$4)</f>
        <v>3.95</v>
      </c>
      <c r="K14" s="34" t="n">
        <f aca="false">RANK(J14,$J$5:$J$16)</f>
        <v>6</v>
      </c>
      <c r="L14" s="0" t="str">
        <f aca="false">IF(K14&lt;=6,"Recruit FY27",IF(H14=1,"Deprioritise (Helix-tied)","Hold for FY28"))</f>
        <v>Recruit FY27</v>
      </c>
    </row>
    <row r="15" customFormat="false" ht="15" hidden="false" customHeight="false" outlineLevel="0" collapsed="false">
      <c r="A15" s="3" t="s">
        <v>259</v>
      </c>
      <c r="B15" s="3" t="s">
        <v>260</v>
      </c>
      <c r="C15" s="3" t="s">
        <v>234</v>
      </c>
      <c r="D15" s="3" t="s">
        <v>261</v>
      </c>
      <c r="E15" s="12" t="n">
        <v>3</v>
      </c>
      <c r="F15" s="12" t="n">
        <v>2</v>
      </c>
      <c r="G15" s="12" t="n">
        <v>4</v>
      </c>
      <c r="H15" s="12" t="n">
        <v>5</v>
      </c>
      <c r="I15" s="12" t="n">
        <v>3</v>
      </c>
      <c r="J15" s="33" t="n">
        <f aca="false">SUMPRODUCT(E15:I15,$E$4:$I$4)</f>
        <v>3.35</v>
      </c>
      <c r="K15" s="34" t="n">
        <f aca="false">RANK(J15,$J$5:$J$16)</f>
        <v>8</v>
      </c>
      <c r="L15" s="0" t="str">
        <f aca="false">IF(K15&lt;=6,"Recruit FY27",IF(H15=1,"Deprioritise (Helix-tied)","Hold for FY28"))</f>
        <v>Hold for FY28</v>
      </c>
    </row>
    <row r="16" customFormat="false" ht="15" hidden="false" customHeight="false" outlineLevel="0" collapsed="false">
      <c r="A16" s="3" t="s">
        <v>262</v>
      </c>
      <c r="B16" s="3" t="s">
        <v>263</v>
      </c>
      <c r="C16" s="3" t="s">
        <v>241</v>
      </c>
      <c r="D16" s="3" t="s">
        <v>264</v>
      </c>
      <c r="E16" s="12" t="n">
        <v>3</v>
      </c>
      <c r="F16" s="12" t="n">
        <v>3</v>
      </c>
      <c r="G16" s="12" t="n">
        <v>3</v>
      </c>
      <c r="H16" s="12" t="n">
        <v>1</v>
      </c>
      <c r="I16" s="12" t="n">
        <v>1</v>
      </c>
      <c r="J16" s="33" t="n">
        <f aca="false">SUMPRODUCT(E16:I16,$E$4:$I$4)</f>
        <v>2.3</v>
      </c>
      <c r="K16" s="34" t="n">
        <f aca="false">RANK(J16,$J$5:$J$16)</f>
        <v>12</v>
      </c>
      <c r="L16" s="0" t="str">
        <f aca="false">IF(K16&lt;=6,"Recruit FY27",IF(H16=1,"Deprioritise (Helix-tied)","Hold for FY28"))</f>
        <v>Deprioritise (Helix-tied)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2"/>
    <col collapsed="false" customWidth="true" hidden="false" outlineLevel="0" max="8" min="6" style="0" width="14"/>
  </cols>
  <sheetData>
    <row r="1" customFormat="false" ht="16.15" hidden="false" customHeight="false" outlineLevel="0" collapsed="false">
      <c r="A1" s="4" t="s">
        <v>265</v>
      </c>
    </row>
    <row r="2" customFormat="false" ht="15" hidden="false" customHeight="false" outlineLevel="0" collapsed="false">
      <c r="A2" s="5" t="s">
        <v>266</v>
      </c>
    </row>
    <row r="4" customFormat="false" ht="23.85" hidden="false" customHeight="false" outlineLevel="0" collapsed="false">
      <c r="A4" s="6" t="s">
        <v>267</v>
      </c>
      <c r="B4" s="6" t="s">
        <v>268</v>
      </c>
      <c r="C4" s="6" t="s">
        <v>269</v>
      </c>
      <c r="D4" s="6" t="s">
        <v>270</v>
      </c>
      <c r="E4" s="6" t="s">
        <v>271</v>
      </c>
      <c r="F4" s="6" t="s">
        <v>272</v>
      </c>
      <c r="G4" s="6" t="s">
        <v>273</v>
      </c>
      <c r="H4" s="6" t="s">
        <v>274</v>
      </c>
    </row>
    <row r="5" customFormat="false" ht="15" hidden="false" customHeight="false" outlineLevel="0" collapsed="false">
      <c r="A5" s="1" t="s">
        <v>275</v>
      </c>
    </row>
    <row r="6" customFormat="false" ht="15" hidden="false" customHeight="false" outlineLevel="0" collapsed="false">
      <c r="A6" s="3" t="s">
        <v>276</v>
      </c>
      <c r="B6" s="27" t="n">
        <v>2.6583</v>
      </c>
      <c r="C6" s="27" t="n">
        <v>3.3933</v>
      </c>
      <c r="D6" s="27" t="n">
        <v>4.3727</v>
      </c>
      <c r="E6" s="27" t="n">
        <v>4.8049</v>
      </c>
      <c r="F6" s="32" t="n">
        <v>0.957</v>
      </c>
      <c r="G6" s="32" t="n">
        <v>0</v>
      </c>
      <c r="H6" s="9" t="n">
        <v>0.073</v>
      </c>
    </row>
    <row r="7" customFormat="false" ht="15" hidden="false" customHeight="false" outlineLevel="0" collapsed="false">
      <c r="A7" s="3" t="s">
        <v>277</v>
      </c>
      <c r="B7" s="27" t="n">
        <v>6.1655</v>
      </c>
      <c r="C7" s="27" t="n">
        <v>9.2439</v>
      </c>
      <c r="D7" s="27" t="n">
        <v>13.6932</v>
      </c>
      <c r="E7" s="27" t="n">
        <v>6.0938</v>
      </c>
      <c r="F7" s="32" t="n">
        <v>0.094</v>
      </c>
      <c r="G7" s="32" t="n">
        <v>0.0439</v>
      </c>
      <c r="H7" s="9" t="n">
        <v>0.1489</v>
      </c>
    </row>
    <row r="8" customFormat="false" ht="15" hidden="false" customHeight="false" outlineLevel="0" collapsed="false">
      <c r="A8" s="3" t="s">
        <v>278</v>
      </c>
      <c r="B8" s="27" t="n">
        <v>12.0544</v>
      </c>
      <c r="C8" s="27" t="n">
        <v>18.8415</v>
      </c>
      <c r="D8" s="27" t="n">
        <v>28.5067</v>
      </c>
      <c r="E8" s="27" t="n">
        <v>6.6872</v>
      </c>
      <c r="F8" s="32" t="n">
        <v>0.0039</v>
      </c>
      <c r="G8" s="32" t="n">
        <v>0.4582</v>
      </c>
      <c r="H8" s="9" t="n">
        <v>0.2416</v>
      </c>
    </row>
    <row r="9" customFormat="false" ht="15" hidden="false" customHeight="false" outlineLevel="0" collapsed="false">
      <c r="A9" s="1" t="s">
        <v>279</v>
      </c>
    </row>
    <row r="10" customFormat="false" ht="15" hidden="false" customHeight="false" outlineLevel="0" collapsed="false">
      <c r="A10" s="3" t="s">
        <v>276</v>
      </c>
      <c r="B10" s="27" t="n">
        <v>1.9778</v>
      </c>
      <c r="C10" s="27" t="n">
        <v>2.4305</v>
      </c>
      <c r="D10" s="27" t="n">
        <v>2.9122</v>
      </c>
      <c r="E10" s="27" t="n">
        <v>4.8049</v>
      </c>
      <c r="F10" s="32" t="n">
        <v>1</v>
      </c>
      <c r="G10" s="32" t="n">
        <v>0</v>
      </c>
      <c r="H10" s="9" t="n">
        <v>0.0523</v>
      </c>
    </row>
    <row r="11" customFormat="false" ht="15" hidden="false" customHeight="false" outlineLevel="0" collapsed="false">
      <c r="A11" s="3" t="s">
        <v>277</v>
      </c>
      <c r="B11" s="27" t="n">
        <v>2.9656</v>
      </c>
      <c r="C11" s="27" t="n">
        <v>4.2016</v>
      </c>
      <c r="D11" s="27" t="n">
        <v>5.9861</v>
      </c>
      <c r="E11" s="27" t="n">
        <v>6.0938</v>
      </c>
      <c r="F11" s="32" t="n">
        <v>0.9106</v>
      </c>
      <c r="G11" s="32" t="n">
        <v>0</v>
      </c>
      <c r="H11" s="9" t="n">
        <v>0.0677</v>
      </c>
    </row>
    <row r="12" customFormat="false" ht="15" hidden="false" customHeight="false" outlineLevel="0" collapsed="false">
      <c r="A12" s="3" t="s">
        <v>278</v>
      </c>
      <c r="B12" s="27" t="n">
        <v>4.4333</v>
      </c>
      <c r="C12" s="27" t="n">
        <v>7.0413</v>
      </c>
      <c r="D12" s="27" t="n">
        <v>10.8971</v>
      </c>
      <c r="E12" s="27" t="n">
        <v>6.6872</v>
      </c>
      <c r="F12" s="32" t="n">
        <v>0.44</v>
      </c>
      <c r="G12" s="32" t="n">
        <v>0.0009</v>
      </c>
      <c r="H12" s="9" t="n">
        <v>0.0903</v>
      </c>
    </row>
    <row r="14" customFormat="false" ht="54.75" hidden="false" customHeight="true" outlineLevel="0" collapsed="false">
      <c r="A14" s="28" t="s">
        <v>280</v>
      </c>
      <c r="B14" s="28"/>
      <c r="C14" s="28"/>
      <c r="D14" s="28"/>
      <c r="E14" s="28"/>
      <c r="F14" s="28"/>
      <c r="G14" s="28"/>
      <c r="H14" s="28"/>
    </row>
  </sheetData>
  <mergeCells count="1"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6" t="s">
        <v>281</v>
      </c>
      <c r="B1" s="6" t="s">
        <v>282</v>
      </c>
      <c r="C1" s="6" t="s">
        <v>283</v>
      </c>
    </row>
    <row r="2" customFormat="false" ht="15" hidden="false" customHeight="false" outlineLevel="0" collapsed="false">
      <c r="A2" s="3" t="s">
        <v>284</v>
      </c>
      <c r="B2" s="35" t="n">
        <f aca="false">Partner_ramp!D12</f>
        <v>0.252688205646904</v>
      </c>
      <c r="C2" s="1" t="str">
        <f aca="false">IF(B2&gt;=0.25,"OK","GAP")</f>
        <v>OK</v>
      </c>
    </row>
    <row r="3" customFormat="false" ht="15" hidden="false" customHeight="false" outlineLevel="0" collapsed="false">
      <c r="A3" s="3" t="s">
        <v>285</v>
      </c>
      <c r="B3" s="35" t="n">
        <f aca="false">MIN(GM_floor!B8:D8)</f>
        <v>0.675757498404873</v>
      </c>
      <c r="C3" s="1" t="str">
        <f aca="false">IF(B3&gt;=0.66,"OK","BREACH")</f>
        <v>OK</v>
      </c>
    </row>
    <row r="4" customFormat="false" ht="15" hidden="false" customHeight="false" outlineLevel="0" collapsed="false">
      <c r="A4" s="3" t="s">
        <v>286</v>
      </c>
      <c r="B4" s="35" t="n">
        <f aca="false">1+Inputs!B28</f>
        <v>3</v>
      </c>
      <c r="C4" s="1" t="str">
        <f aca="false">IF(B4&lt;=6,"OK","OVER")</f>
        <v>OK</v>
      </c>
    </row>
    <row r="5" customFormat="false" ht="15" hidden="false" customHeight="false" outlineLevel="0" collapsed="false">
      <c r="A5" s="3" t="s">
        <v>287</v>
      </c>
      <c r="B5" s="35" t="n">
        <f aca="false">SUM(Inputs!D19:D21)+SUM(Inputs!E19:E21)+SUM(Inputs!F19:F21)</f>
        <v>3</v>
      </c>
      <c r="C5" s="1" t="str">
        <f aca="false">IF(ABS(B5-3)&lt;0.001,"OK","ERROR")</f>
        <v>OK</v>
      </c>
    </row>
    <row r="6" customFormat="false" ht="15" hidden="false" customHeight="false" outlineLevel="0" collapsed="false">
      <c r="A6" s="3" t="s">
        <v>288</v>
      </c>
      <c r="B6" s="35" t="n">
        <f aca="false">Inject3!B11</f>
        <v>0.304066082265678</v>
      </c>
      <c r="C6" s="1" t="str">
        <f aca="false">IF(B6&gt;=0,"OK","CHECK")</f>
        <v>OK</v>
      </c>
    </row>
    <row r="7" customFormat="false" ht="15" hidden="false" customHeight="false" outlineLevel="0" collapsed="false">
      <c r="A7" s="3" t="s">
        <v>289</v>
      </c>
      <c r="B7" s="35" t="n">
        <f aca="false">Inputs!B33-Inputs!B32</f>
        <v>2.44</v>
      </c>
      <c r="C7" s="1" t="str">
        <f aca="false">IF(B7&lt;=2.84+0.001,"OK","OVER")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2026-09-23T15:44:25Z</dcterms:created>
  <dc:creator>openpyxl</dc:creator>
  <dc:description/>
  <dc:language>en-US</dc:language>
  <cp:lastModifiedBy/>
  <dcterms:modified xsi:type="dcterms:W3CDTF">2026-09-23T15:44:25Z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